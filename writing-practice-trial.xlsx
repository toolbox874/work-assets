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印刷用" sheetId="1" state="visible" r:id="rId3"/>
    <sheet name="長文印刷用" sheetId="2" state="visible" r:id="rId4"/>
    <sheet name="短文入力" sheetId="3" state="visible" r:id="rId5"/>
    <sheet name="長文入力" sheetId="4" state="visible" r:id="rId6"/>
  </sheets>
  <definedNames>
    <definedName name="_xlnm.Print_Area" localSheetId="0">'印刷用'!$A$1:$J$39</definedName>
    <definedName name="_xlnm.Print_Area" localSheetId="1">'長文印刷用'!$A$1:$J$33</definedName>
  </definedNames>
  <calcPr iterateCount="100" refMode="A1" iterate="false" iterateDelta="0.0001" calcMode="auto" fullCalcOnLoad="1" forceFullCalc="1"/>
</workbook>
</file>

<file path=xl/sharedStrings.xml><?xml version="1.0" encoding="utf-8"?>
<sst xmlns="http://schemas.openxmlformats.org/spreadsheetml/2006/main" count="91" uniqueCount="60">
  <si>
    <t xml:space="preserve">見本</t>
  </si>
  <si>
    <t xml:space="preserve">お名前</t>
  </si>
  <si>
    <t xml:space="preserve">＿＿＿＿＿＿＿＿＿＿＿＿＿＿＿＿＿＿＿＿</t>
  </si>
  <si>
    <t xml:space="preserve">← 書き写し</t>
  </si>
  <si>
    <t xml:space="preserve">標準の入力（試用版）</t>
  </si>
  <si>
    <r>
      <rPr>
        <sz val="13"/>
        <color rgb="FF000000"/>
        <rFont val="Noto Sans CJK SC"/>
        <family val="2"/>
      </rPr>
      <t xml:space="preserve">試用版：職場</t>
    </r>
    <r>
      <rPr>
        <sz val="13"/>
        <color rgb="FF000000"/>
        <rFont val="Noto Sans"/>
        <family val="0"/>
        <charset val="1"/>
      </rPr>
      <t xml:space="preserve">PC</t>
    </r>
    <r>
      <rPr>
        <sz val="13"/>
        <color rgb="FF000000"/>
        <rFont val="Noto Sans CJK SC"/>
        <family val="2"/>
      </rPr>
      <t xml:space="preserve">の印刷プレビューと試し刷りを確認してからお使いください。</t>
    </r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テーマ → 依頼文をコピー → 本文を貼る → 印刷</t>
    </r>
  </si>
  <si>
    <t xml:space="preserve">縦の文字数（固定）</t>
  </si>
  <si>
    <t xml:space="preserve">横の列数（固定）</t>
  </si>
  <si>
    <r>
      <rPr>
        <sz val="13"/>
        <color rgb="FF000000"/>
        <rFont val="Noto Sans"/>
        <family val="0"/>
        <charset val="1"/>
      </rPr>
      <t xml:space="preserve">1</t>
    </r>
    <r>
      <rPr>
        <sz val="13"/>
        <color rgb="FF000000"/>
        <rFont val="Noto Sans CJK SC"/>
        <family val="2"/>
      </rPr>
      <t xml:space="preserve">つの見本の上限</t>
    </r>
  </si>
  <si>
    <t xml:space="preserve">用紙タイプ</t>
  </si>
  <si>
    <r>
      <rPr>
        <sz val="13"/>
        <color rgb="FF000000"/>
        <rFont val="Noto Sans CJK SC"/>
        <family val="2"/>
      </rPr>
      <t xml:space="preserve">標準</t>
    </r>
    <r>
      <rPr>
        <sz val="13"/>
        <color rgb="FF000000"/>
        <rFont val="Noto Sans"/>
        <family val="0"/>
        <charset val="1"/>
      </rPr>
      <t xml:space="preserve">70</t>
    </r>
    <r>
      <rPr>
        <sz val="13"/>
        <color rgb="FF000000"/>
        <rFont val="Noto Sans CJK SC"/>
        <family val="2"/>
      </rPr>
      <t xml:space="preserve">字（</t>
    </r>
    <r>
      <rPr>
        <sz val="13"/>
        <color rgb="FF000000"/>
        <rFont val="Noto Sans"/>
        <family val="0"/>
        <charset val="1"/>
      </rPr>
      <t xml:space="preserve">2</t>
    </r>
    <r>
      <rPr>
        <sz val="13"/>
        <color rgb="FF000000"/>
        <rFont val="Noto Sans CJK SC"/>
        <family val="2"/>
      </rPr>
      <t xml:space="preserve">回分・固定）</t>
    </r>
  </si>
  <si>
    <t xml:space="preserve">上段の入力</t>
  </si>
  <si>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テーマ（詳しい指示・印刷されません）</t>
    </r>
  </si>
  <si>
    <t xml:space="preserve">落ち葉と木漏れ日</t>
  </si>
  <si>
    <r>
      <rPr>
        <sz val="13"/>
        <color rgb="FF000000"/>
        <rFont val="Noto Sans CJK SC"/>
        <family val="2"/>
      </rPr>
      <t xml:space="preserve">コピー用</t>
    </r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依頼文</t>
    </r>
  </si>
  <si>
    <t xml:space="preserve">印刷タイトル（任意・ここが印刷されます）</t>
  </si>
  <si>
    <t xml:space="preserve">整形の確認（自動計算）</t>
  </si>
  <si>
    <t xml:space="preserve">日付（任意）</t>
  </si>
  <si>
    <t xml:space="preserve">　月　日</t>
  </si>
  <si>
    <t xml:space="preserve">本文を貼る</t>
  </si>
  <si>
    <t xml:space="preserve">秋の小道の上に、赤や黄色の葉が重なっています。風が通るたびに一枚の葉がくるりと舞い、木漏れ日の中へ静かに降りていきました。</t>
  </si>
  <si>
    <t xml:space="preserve">現在の文字数</t>
  </si>
  <si>
    <t xml:space="preserve">確認</t>
  </si>
  <si>
    <t xml:space="preserve">下段の入力</t>
  </si>
  <si>
    <t xml:space="preserve">窓辺のお茶と小鳥</t>
  </si>
  <si>
    <t xml:space="preserve">湯のみから立つ湯気が、窓辺の光に透けています。ひと口のお茶で体が温まり、庭を訪れた小鳥の声に、自然と耳を傾けたくなりました。</t>
  </si>
  <si>
    <t xml:space="preserve">貼り付け方</t>
  </si>
  <si>
    <r>
      <rPr>
        <b val="true"/>
        <sz val="13"/>
        <color rgb="FF000000"/>
        <rFont val="Noto Sans"/>
        <family val="0"/>
        <charset val="1"/>
      </rPr>
      <t xml:space="preserve">B12</t>
    </r>
    <r>
      <rPr>
        <b val="true"/>
        <sz val="13"/>
        <color rgb="FF000000"/>
        <rFont val="Noto Sans CJK SC"/>
        <family val="2"/>
      </rPr>
      <t xml:space="preserve">（上段）または</t>
    </r>
    <r>
      <rPr>
        <b val="true"/>
        <sz val="13"/>
        <color rgb="FF000000"/>
        <rFont val="Noto Sans"/>
        <family val="0"/>
        <charset val="1"/>
      </rPr>
      <t xml:space="preserve">B21</t>
    </r>
    <r>
      <rPr>
        <b val="true"/>
        <sz val="13"/>
        <color rgb="FF000000"/>
        <rFont val="Noto Sans CJK SC"/>
        <family val="2"/>
      </rPr>
      <t xml:space="preserve">（下段）を選び、数式バーをクリックしてから本文を貼り付けます。セルをダブルクリックして編集状態にしても貼れます。通常のセル貼り付けは、改行で複数セルに分かれることがあるので避けてください。</t>
    </r>
  </si>
  <si>
    <t xml:space="preserve">文字の数え方</t>
  </si>
  <si>
    <r>
      <rPr>
        <sz val="13"/>
        <color rgb="FF000000"/>
        <rFont val="Noto Sans CJK SC"/>
        <family val="2"/>
      </rPr>
      <t xml:space="preserve">改行（</t>
    </r>
    <r>
      <rPr>
        <sz val="13"/>
        <color rgb="FF000000"/>
        <rFont val="Noto Sans"/>
        <family val="0"/>
        <charset val="1"/>
      </rPr>
      <t xml:space="preserve">CR/LF</t>
    </r>
    <r>
      <rPr>
        <sz val="13"/>
        <color rgb="FF000000"/>
        <rFont val="Noto Sans CJK SC"/>
        <family val="2"/>
      </rPr>
      <t xml:space="preserve">）とタブは除外します。句読点・半角空白・全角空白は各</t>
    </r>
    <r>
      <rPr>
        <sz val="13"/>
        <color rgb="FF000000"/>
        <rFont val="Noto Sans"/>
        <family val="0"/>
        <charset val="1"/>
      </rPr>
      <t xml:space="preserve">1</t>
    </r>
    <r>
      <rPr>
        <sz val="13"/>
        <color rgb="FF000000"/>
        <rFont val="Noto Sans CJK SC"/>
        <family val="2"/>
      </rPr>
      <t xml:space="preserve">文字です。絵文字や特殊な文字は使わず、</t>
    </r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の文字数表示ではなく、このシートの確認欄を見てください。</t>
    </r>
  </si>
  <si>
    <t xml:space="preserve">配置について</t>
  </si>
  <si>
    <r>
      <rPr>
        <sz val="13"/>
        <color rgb="FF000000"/>
        <rFont val="Noto Sans CJK SC"/>
        <family val="2"/>
      </rPr>
      <t xml:space="preserve">このシートは縦</t>
    </r>
    <r>
      <rPr>
        <sz val="13"/>
        <color rgb="FF000000"/>
        <rFont val="Noto Sans"/>
        <family val="0"/>
        <charset val="1"/>
      </rPr>
      <t xml:space="preserve">7</t>
    </r>
    <r>
      <rPr>
        <sz val="13"/>
        <color rgb="FF000000"/>
        <rFont val="Noto Sans CJK SC"/>
        <family val="2"/>
      </rPr>
      <t xml:space="preserve">文字</t>
    </r>
    <r>
      <rPr>
        <sz val="13"/>
        <color rgb="FF000000"/>
        <rFont val="Noto Sans"/>
        <family val="0"/>
        <charset val="1"/>
      </rPr>
      <t xml:space="preserve">×10</t>
    </r>
    <r>
      <rPr>
        <sz val="13"/>
        <color rgb="FF000000"/>
        <rFont val="Noto Sans CJK SC"/>
        <family val="2"/>
      </rPr>
      <t xml:space="preserve">列で各</t>
    </r>
    <r>
      <rPr>
        <sz val="13"/>
        <color rgb="FF000000"/>
        <rFont val="Noto Sans"/>
        <family val="0"/>
        <charset val="1"/>
      </rPr>
      <t xml:space="preserve">70</t>
    </r>
    <r>
      <rPr>
        <sz val="13"/>
        <color rgb="FF000000"/>
        <rFont val="Noto Sans CJK SC"/>
        <family val="2"/>
      </rPr>
      <t xml:space="preserve">文字、上下</t>
    </r>
    <r>
      <rPr>
        <sz val="13"/>
        <color rgb="FF000000"/>
        <rFont val="Noto Sans"/>
        <family val="0"/>
        <charset val="1"/>
      </rPr>
      <t xml:space="preserve">2</t>
    </r>
    <r>
      <rPr>
        <sz val="13"/>
        <color rgb="FF000000"/>
        <rFont val="Noto Sans CJK SC"/>
        <family val="2"/>
      </rPr>
      <t xml:space="preserve">回分です。</t>
    </r>
    <r>
      <rPr>
        <sz val="13"/>
        <color rgb="FF000000"/>
        <rFont val="Noto Sans"/>
        <family val="0"/>
        <charset val="1"/>
      </rPr>
      <t xml:space="preserve">140</t>
    </r>
    <r>
      <rPr>
        <sz val="13"/>
        <color rgb="FF000000"/>
        <rFont val="Noto Sans CJK SC"/>
        <family val="2"/>
      </rPr>
      <t xml:space="preserve">文字の文章は「長文入力」を使います。右端から読みます。各見本列の上下に空きを設けています。句読点を列頭から移す禁則処理は行いません。</t>
    </r>
  </si>
  <si>
    <t xml:space="preserve">印刷</t>
  </si>
  <si>
    <r>
      <rPr>
        <sz val="13"/>
        <color rgb="FF000000"/>
        <rFont val="Noto Sans CJK SC"/>
        <family val="2"/>
      </rPr>
      <t xml:space="preserve">「印刷用」の</t>
    </r>
    <r>
      <rPr>
        <sz val="13"/>
        <color rgb="FF000000"/>
        <rFont val="Noto Sans"/>
        <family val="0"/>
        <charset val="1"/>
      </rPr>
      <t xml:space="preserve">A1:J39</t>
    </r>
    <r>
      <rPr>
        <sz val="13"/>
        <color rgb="FF000000"/>
        <rFont val="Noto Sans CJK SC"/>
        <family val="2"/>
      </rPr>
      <t xml:space="preserve">が印刷範囲です。このシートだけを選んで印刷します。</t>
    </r>
    <r>
      <rPr>
        <sz val="13"/>
        <color rgb="FF000000"/>
        <rFont val="Noto Sans"/>
        <family val="0"/>
        <charset val="1"/>
      </rPr>
      <t xml:space="preserve">A4</t>
    </r>
    <r>
      <rPr>
        <sz val="13"/>
        <color rgb="FF000000"/>
        <rFont val="Noto Sans CJK SC"/>
        <family val="2"/>
      </rPr>
      <t xml:space="preserve">・縦向きで、まず倍率</t>
    </r>
    <r>
      <rPr>
        <sz val="13"/>
        <color rgb="FF000000"/>
        <rFont val="Noto Sans"/>
        <family val="0"/>
        <charset val="1"/>
      </rPr>
      <t xml:space="preserve">100%</t>
    </r>
    <r>
      <rPr>
        <sz val="13"/>
        <color rgb="FF000000"/>
        <rFont val="Noto Sans CJK SC"/>
        <family val="2"/>
      </rPr>
      <t xml:space="preserve">のプレビューを確認してください。</t>
    </r>
    <r>
      <rPr>
        <sz val="13"/>
        <color rgb="FF000000"/>
        <rFont val="Noto Sans"/>
        <family val="0"/>
        <charset val="1"/>
      </rPr>
      <t xml:space="preserve">1</t>
    </r>
    <r>
      <rPr>
        <sz val="13"/>
        <color rgb="FF000000"/>
        <rFont val="Noto Sans CJK SC"/>
        <family val="2"/>
      </rPr>
      <t xml:space="preserve">ページに収まらない場合は余白または倍率を調整してください。</t>
    </r>
  </si>
  <si>
    <t xml:space="preserve">書式</t>
  </si>
  <si>
    <r>
      <rPr>
        <sz val="13"/>
        <color rgb="FF000000"/>
        <rFont val="Noto Sans CJK SC"/>
        <family val="2"/>
      </rPr>
      <t xml:space="preserve">見本は </t>
    </r>
    <r>
      <rPr>
        <sz val="13"/>
        <color rgb="FF000000"/>
        <rFont val="Noto Sans"/>
        <family val="0"/>
        <charset val="1"/>
      </rPr>
      <t xml:space="preserve">Klee One</t>
    </r>
    <r>
      <rPr>
        <sz val="13"/>
        <color rgb="FF000000"/>
        <rFont val="Noto Sans CJK SC"/>
        <family val="2"/>
      </rPr>
      <t xml:space="preserve">・</t>
    </r>
    <r>
      <rPr>
        <sz val="13"/>
        <color rgb="FF000000"/>
        <rFont val="Noto Sans"/>
        <family val="0"/>
        <charset val="1"/>
      </rPr>
      <t xml:space="preserve">18pt</t>
    </r>
    <r>
      <rPr>
        <sz val="13"/>
        <color rgb="FF000000"/>
        <rFont val="Noto Sans CJK SC"/>
        <family val="2"/>
      </rPr>
      <t xml:space="preserve">です。</t>
    </r>
    <r>
      <rPr>
        <sz val="13"/>
        <color rgb="FF000000"/>
        <rFont val="Noto Sans"/>
        <family val="0"/>
        <charset val="1"/>
      </rPr>
      <t xml:space="preserve">Klee One</t>
    </r>
    <r>
      <rPr>
        <sz val="13"/>
        <color rgb="FF000000"/>
        <rFont val="Noto Sans CJK SC"/>
        <family val="2"/>
      </rPr>
      <t xml:space="preserve">の表示には端末へのインストールが必要です。端末にない場合は代替書体になります。印刷プレビューで確認し、必要ならインストール済みの読みやすい書体を選んでください。フォントは同梱していません。書式は「印刷用」の</t>
    </r>
    <r>
      <rPr>
        <sz val="13"/>
        <color rgb="FF000000"/>
        <rFont val="Noto Sans"/>
        <family val="0"/>
        <charset val="1"/>
      </rPr>
      <t xml:space="preserve">A4:J10</t>
    </r>
    <r>
      <rPr>
        <sz val="13"/>
        <color rgb="FF000000"/>
        <rFont val="Noto Sans CJK SC"/>
        <family val="2"/>
      </rPr>
      <t xml:space="preserve">・</t>
    </r>
    <r>
      <rPr>
        <sz val="13"/>
        <color rgb="FF000000"/>
        <rFont val="Noto Sans"/>
        <family val="0"/>
        <charset val="1"/>
      </rPr>
      <t xml:space="preserve">A24:J30</t>
    </r>
    <r>
      <rPr>
        <sz val="13"/>
        <color rgb="FF000000"/>
        <rFont val="Noto Sans CJK SC"/>
        <family val="2"/>
      </rPr>
      <t xml:space="preserve">で変更できます。</t>
    </r>
  </si>
  <si>
    <t xml:space="preserve">試用例</t>
  </si>
  <si>
    <r>
      <rPr>
        <sz val="13"/>
        <color rgb="FF000000"/>
        <rFont val="Noto Sans CJK SC"/>
        <family val="2"/>
      </rPr>
      <t xml:space="preserve">本文はこの試用版のために作ったオリジナルの季節の例文です。</t>
    </r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テーマ・印刷タイトル・日付・本文を黄色の欄で変更できます。</t>
    </r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には各段の依頼文をコピーして使います。</t>
    </r>
  </si>
  <si>
    <r>
      <rPr>
        <b val="true"/>
        <sz val="18"/>
        <color rgb="FF000000"/>
        <rFont val="Noto Sans CJK SC"/>
        <family val="2"/>
      </rPr>
      <t xml:space="preserve">長文の入力（</t>
    </r>
    <r>
      <rPr>
        <b val="true"/>
        <sz val="18"/>
        <color rgb="FF000000"/>
        <rFont val="Noto Sans"/>
        <family val="0"/>
        <charset val="1"/>
      </rPr>
      <t xml:space="preserve">140</t>
    </r>
    <r>
      <rPr>
        <b val="true"/>
        <sz val="18"/>
        <color rgb="FF000000"/>
        <rFont val="Noto Sans CJK SC"/>
        <family val="2"/>
      </rPr>
      <t xml:space="preserve">文字・試用版）</t>
    </r>
  </si>
  <si>
    <r>
      <rPr>
        <sz val="13"/>
        <color rgb="FF000000"/>
        <rFont val="Noto Sans CJK SC"/>
        <family val="2"/>
      </rPr>
      <t xml:space="preserve">長文</t>
    </r>
    <r>
      <rPr>
        <sz val="13"/>
        <color rgb="FF000000"/>
        <rFont val="Noto Sans"/>
        <family val="0"/>
        <charset val="1"/>
      </rPr>
      <t xml:space="preserve">140</t>
    </r>
    <r>
      <rPr>
        <sz val="13"/>
        <color rgb="FF000000"/>
        <rFont val="Noto Sans CJK SC"/>
        <family val="2"/>
      </rPr>
      <t xml:space="preserve">字（</t>
    </r>
    <r>
      <rPr>
        <sz val="13"/>
        <color rgb="FF000000"/>
        <rFont val="Noto Sans"/>
        <family val="0"/>
        <charset val="1"/>
      </rPr>
      <t xml:space="preserve">1</t>
    </r>
    <r>
      <rPr>
        <sz val="13"/>
        <color rgb="FF000000"/>
        <rFont val="Noto Sans CJK SC"/>
        <family val="2"/>
      </rPr>
      <t xml:space="preserve">回分）</t>
    </r>
  </si>
  <si>
    <t xml:space="preserve">長文の入力</t>
  </si>
  <si>
    <t xml:space="preserve">雨上がりの庭の小さな変化</t>
  </si>
  <si>
    <t xml:space="preserve">雨上がりの庭では、草の先に小さなしずくが残っています。雲の切れ間から日が差すと、しずくは光を映し、葉の色もひときわ鮮やかに見えました。遠くで鳥が鳴き、風に揺れた枝から水がぽつりと落ちます。いつもの窓から眺める景色にも、季節の移り変わりを感じられます。</t>
  </si>
  <si>
    <t xml:space="preserve">使い方</t>
  </si>
  <si>
    <r>
      <rPr>
        <sz val="13"/>
        <color rgb="FF000000"/>
        <rFont val="Noto Sans"/>
        <family val="0"/>
        <charset val="1"/>
      </rPr>
      <t xml:space="preserve">1</t>
    </r>
    <r>
      <rPr>
        <sz val="13"/>
        <color rgb="FF000000"/>
        <rFont val="Noto Sans CJK SC"/>
        <family val="2"/>
      </rPr>
      <t xml:space="preserve">　テーマ</t>
    </r>
  </si>
  <si>
    <r>
      <rPr>
        <b val="true"/>
        <sz val="13"/>
        <color rgb="FF000000"/>
        <rFont val="Noto Sans"/>
        <family val="0"/>
        <charset val="1"/>
      </rPr>
      <t xml:space="preserve">B8</t>
    </r>
    <r>
      <rPr>
        <b val="true"/>
        <sz val="13"/>
        <color rgb="FF000000"/>
        <rFont val="Noto Sans CJK SC"/>
        <family val="2"/>
      </rPr>
      <t xml:space="preserve">の</t>
    </r>
    <r>
      <rPr>
        <b val="true"/>
        <sz val="13"/>
        <color rgb="FF000000"/>
        <rFont val="Noto Sans"/>
        <family val="0"/>
        <charset val="1"/>
      </rPr>
      <t xml:space="preserve">AI</t>
    </r>
    <r>
      <rPr>
        <b val="true"/>
        <sz val="13"/>
        <color rgb="FF000000"/>
        <rFont val="Noto Sans CJK SC"/>
        <family val="2"/>
      </rPr>
      <t xml:space="preserve">テーマは詳しい指示用で、印刷されません。</t>
    </r>
    <r>
      <rPr>
        <b val="true"/>
        <sz val="13"/>
        <color rgb="FF000000"/>
        <rFont val="Noto Sans"/>
        <family val="0"/>
        <charset val="1"/>
      </rPr>
      <t xml:space="preserve">B10</t>
    </r>
    <r>
      <rPr>
        <b val="true"/>
        <sz val="13"/>
        <color rgb="FF000000"/>
        <rFont val="Noto Sans CJK SC"/>
        <family val="2"/>
      </rPr>
      <t xml:space="preserve">の印刷タイトルは任意で手入力し、空欄なら見出しなしになります。日付は</t>
    </r>
    <r>
      <rPr>
        <b val="true"/>
        <sz val="13"/>
        <color rgb="FF000000"/>
        <rFont val="Noto Sans"/>
        <family val="0"/>
        <charset val="1"/>
      </rPr>
      <t xml:space="preserve">B11</t>
    </r>
    <r>
      <rPr>
        <b val="true"/>
        <sz val="13"/>
        <color rgb="FF000000"/>
        <rFont val="Noto Sans CJK SC"/>
        <family val="2"/>
      </rPr>
      <t xml:space="preserve">で変更します。</t>
    </r>
  </si>
  <si>
    <r>
      <rPr>
        <sz val="13"/>
        <color rgb="FF000000"/>
        <rFont val="Noto Sans"/>
        <family val="0"/>
        <charset val="1"/>
      </rPr>
      <t xml:space="preserve">2</t>
    </r>
    <r>
      <rPr>
        <sz val="13"/>
        <color rgb="FF000000"/>
        <rFont val="Noto Sans CJK SC"/>
        <family val="2"/>
      </rPr>
      <t xml:space="preserve">　</t>
    </r>
    <r>
      <rPr>
        <sz val="13"/>
        <color rgb="FF000000"/>
        <rFont val="Noto Sans"/>
        <family val="0"/>
        <charset val="1"/>
      </rPr>
      <t xml:space="preserve">AI</t>
    </r>
    <r>
      <rPr>
        <sz val="13"/>
        <color rgb="FF000000"/>
        <rFont val="Noto Sans CJK SC"/>
        <family val="2"/>
      </rPr>
      <t xml:space="preserve">へ依頼</t>
    </r>
  </si>
  <si>
    <r>
      <rPr>
        <b val="true"/>
        <sz val="13"/>
        <color rgb="FF000000"/>
        <rFont val="Noto Sans"/>
        <family val="0"/>
        <charset val="1"/>
      </rPr>
      <t xml:space="preserve">B9</t>
    </r>
    <r>
      <rPr>
        <b val="true"/>
        <sz val="13"/>
        <color rgb="FF000000"/>
        <rFont val="Noto Sans CJK SC"/>
        <family val="2"/>
      </rPr>
      <t xml:space="preserve">の依頼文をコピーし、</t>
    </r>
    <r>
      <rPr>
        <b val="true"/>
        <sz val="13"/>
        <color rgb="FF000000"/>
        <rFont val="Noto Sans"/>
        <family val="0"/>
        <charset val="1"/>
      </rPr>
      <t xml:space="preserve">ChatGPT</t>
    </r>
    <r>
      <rPr>
        <b val="true"/>
        <sz val="13"/>
        <color rgb="FF000000"/>
        <rFont val="Noto Sans CJK SC"/>
        <family val="2"/>
      </rPr>
      <t xml:space="preserve">などの</t>
    </r>
    <r>
      <rPr>
        <b val="true"/>
        <sz val="13"/>
        <color rgb="FF000000"/>
        <rFont val="Noto Sans"/>
        <family val="0"/>
        <charset val="1"/>
      </rPr>
      <t xml:space="preserve">AI</t>
    </r>
    <r>
      <rPr>
        <b val="true"/>
        <sz val="13"/>
        <color rgb="FF000000"/>
        <rFont val="Noto Sans CJK SC"/>
        <family val="2"/>
      </rPr>
      <t xml:space="preserve">に貼り付けます。テーマに合わせて自動で変わります。このシートから</t>
    </r>
    <r>
      <rPr>
        <b val="true"/>
        <sz val="13"/>
        <color rgb="FF000000"/>
        <rFont val="Noto Sans"/>
        <family val="0"/>
        <charset val="1"/>
      </rPr>
      <t xml:space="preserve">AI</t>
    </r>
    <r>
      <rPr>
        <b val="true"/>
        <sz val="13"/>
        <color rgb="FF000000"/>
        <rFont val="Noto Sans CJK SC"/>
        <family val="2"/>
      </rPr>
      <t xml:space="preserve">へ自動送信はしません。</t>
    </r>
  </si>
  <si>
    <r>
      <rPr>
        <sz val="13"/>
        <color rgb="FF000000"/>
        <rFont val="Noto Sans"/>
        <family val="0"/>
        <charset val="1"/>
      </rPr>
      <t xml:space="preserve">3</t>
    </r>
    <r>
      <rPr>
        <sz val="13"/>
        <color rgb="FF000000"/>
        <rFont val="Noto Sans CJK SC"/>
        <family val="2"/>
      </rPr>
      <t xml:space="preserve">　本文を貼る</t>
    </r>
  </si>
  <si>
    <r>
      <rPr>
        <b val="true"/>
        <sz val="13"/>
        <color rgb="FF000000"/>
        <rFont val="Noto Sans"/>
        <family val="0"/>
        <charset val="1"/>
      </rPr>
      <t xml:space="preserve">B12</t>
    </r>
    <r>
      <rPr>
        <b val="true"/>
        <sz val="13"/>
        <color rgb="FF000000"/>
        <rFont val="Noto Sans CJK SC"/>
        <family val="2"/>
      </rPr>
      <t xml:space="preserve">を選び、数式バーをクリックしてから</t>
    </r>
    <r>
      <rPr>
        <b val="true"/>
        <sz val="13"/>
        <color rgb="FF000000"/>
        <rFont val="Noto Sans"/>
        <family val="0"/>
        <charset val="1"/>
      </rPr>
      <t xml:space="preserve">AI</t>
    </r>
    <r>
      <rPr>
        <b val="true"/>
        <sz val="13"/>
        <color rgb="FF000000"/>
        <rFont val="Noto Sans CJK SC"/>
        <family val="2"/>
      </rPr>
      <t xml:space="preserve">の本文だけを貼り付けます。セルをダブルクリックして編集状態にしても貼れます。通常のセル貼り付けは、改行で複数セルに分かれるため避けてください。</t>
    </r>
  </si>
  <si>
    <r>
      <rPr>
        <sz val="13"/>
        <color rgb="FF000000"/>
        <rFont val="Noto Sans"/>
        <family val="0"/>
        <charset val="1"/>
      </rPr>
      <t xml:space="preserve">4</t>
    </r>
    <r>
      <rPr>
        <sz val="13"/>
        <color rgb="FF000000"/>
        <rFont val="Noto Sans CJK SC"/>
        <family val="2"/>
      </rPr>
      <t xml:space="preserve">　文字数を確認</t>
    </r>
  </si>
  <si>
    <r>
      <rPr>
        <b val="true"/>
        <sz val="13"/>
        <color rgb="FF000000"/>
        <rFont val="Noto Sans"/>
        <family val="0"/>
        <charset val="1"/>
      </rPr>
      <t xml:space="preserve">B14</t>
    </r>
    <r>
      <rPr>
        <b val="true"/>
        <sz val="13"/>
        <color rgb="FF000000"/>
        <rFont val="Noto Sans CJK SC"/>
        <family val="2"/>
      </rPr>
      <t xml:space="preserve">が「印刷できます」なら準備完了です。</t>
    </r>
    <r>
      <rPr>
        <b val="true"/>
        <sz val="13"/>
        <color rgb="FF000000"/>
        <rFont val="Noto Sans"/>
        <family val="0"/>
        <charset val="1"/>
      </rPr>
      <t xml:space="preserve">140</t>
    </r>
    <r>
      <rPr>
        <b val="true"/>
        <sz val="13"/>
        <color rgb="FF000000"/>
        <rFont val="Noto Sans CJK SC"/>
        <family val="2"/>
      </rPr>
      <t xml:space="preserve">文字を超えると見本は表示しません。改行（</t>
    </r>
    <r>
      <rPr>
        <b val="true"/>
        <sz val="13"/>
        <color rgb="FF000000"/>
        <rFont val="Noto Sans"/>
        <family val="0"/>
        <charset val="1"/>
      </rPr>
      <t xml:space="preserve">CR/LF</t>
    </r>
    <r>
      <rPr>
        <b val="true"/>
        <sz val="13"/>
        <color rgb="FF000000"/>
        <rFont val="Noto Sans CJK SC"/>
        <family val="2"/>
      </rPr>
      <t xml:space="preserve">）とタブは除外し、句読点・半角空白・全角空白は各</t>
    </r>
    <r>
      <rPr>
        <b val="true"/>
        <sz val="13"/>
        <color rgb="FF000000"/>
        <rFont val="Noto Sans"/>
        <family val="0"/>
        <charset val="1"/>
      </rPr>
      <t xml:space="preserve">1</t>
    </r>
    <r>
      <rPr>
        <b val="true"/>
        <sz val="13"/>
        <color rgb="FF000000"/>
        <rFont val="Noto Sans CJK SC"/>
        <family val="2"/>
      </rPr>
      <t xml:space="preserve">文字で数えます。</t>
    </r>
  </si>
  <si>
    <r>
      <rPr>
        <sz val="13"/>
        <color rgb="FF000000"/>
        <rFont val="Noto Sans"/>
        <family val="0"/>
        <charset val="1"/>
      </rPr>
      <t xml:space="preserve">5</t>
    </r>
    <r>
      <rPr>
        <sz val="13"/>
        <color rgb="FF000000"/>
        <rFont val="Noto Sans CJK SC"/>
        <family val="2"/>
      </rPr>
      <t xml:space="preserve">　印刷用を開く</t>
    </r>
  </si>
  <si>
    <r>
      <rPr>
        <b val="true"/>
        <u val="single"/>
        <sz val="13"/>
        <color rgb="FF000000"/>
        <rFont val="Noto Sans CJK SC"/>
        <family val="2"/>
      </rPr>
      <t xml:space="preserve">画面下の「長文印刷用」シートを選びます（縦</t>
    </r>
    <r>
      <rPr>
        <b val="true"/>
        <u val="single"/>
        <sz val="13"/>
        <color rgb="FF000000"/>
        <rFont val="Noto Sans"/>
        <family val="0"/>
        <charset val="1"/>
      </rPr>
      <t xml:space="preserve">14</t>
    </r>
    <r>
      <rPr>
        <b val="true"/>
        <u val="single"/>
        <sz val="13"/>
        <color rgb="FF000000"/>
        <rFont val="Noto Sans CJK SC"/>
        <family val="2"/>
      </rPr>
      <t xml:space="preserve">文字</t>
    </r>
    <r>
      <rPr>
        <b val="true"/>
        <u val="single"/>
        <sz val="13"/>
        <color rgb="FF000000"/>
        <rFont val="Noto Sans"/>
        <family val="0"/>
        <charset val="1"/>
      </rPr>
      <t xml:space="preserve">×10</t>
    </r>
    <r>
      <rPr>
        <b val="true"/>
        <u val="single"/>
        <sz val="13"/>
        <color rgb="FF000000"/>
        <rFont val="Noto Sans CJK SC"/>
        <family val="2"/>
      </rPr>
      <t xml:space="preserve">列）。</t>
    </r>
  </si>
  <si>
    <t xml:space="preserve">印刷設定</t>
  </si>
  <si>
    <r>
      <rPr>
        <b val="true"/>
        <sz val="13"/>
        <color rgb="FF000000"/>
        <rFont val="Noto Sans CJK SC"/>
        <family val="2"/>
      </rPr>
      <t xml:space="preserve">「長文印刷用」の</t>
    </r>
    <r>
      <rPr>
        <b val="true"/>
        <sz val="13"/>
        <color rgb="FF000000"/>
        <rFont val="Noto Sans"/>
        <family val="0"/>
        <charset val="1"/>
      </rPr>
      <t xml:space="preserve">A1:J33</t>
    </r>
    <r>
      <rPr>
        <b val="true"/>
        <sz val="13"/>
        <color rgb="FF000000"/>
        <rFont val="Noto Sans CJK SC"/>
        <family val="2"/>
      </rPr>
      <t xml:space="preserve">が印刷範囲です。このシートだけを選んで印刷します。</t>
    </r>
    <r>
      <rPr>
        <b val="true"/>
        <sz val="13"/>
        <color rgb="FF000000"/>
        <rFont val="Noto Sans"/>
        <family val="0"/>
        <charset val="1"/>
      </rPr>
      <t xml:space="preserve">A4</t>
    </r>
    <r>
      <rPr>
        <b val="true"/>
        <sz val="13"/>
        <color rgb="FF000000"/>
        <rFont val="Noto Sans CJK SC"/>
        <family val="2"/>
      </rPr>
      <t xml:space="preserve">・縦向きで、まず倍率</t>
    </r>
    <r>
      <rPr>
        <b val="true"/>
        <sz val="13"/>
        <color rgb="FF000000"/>
        <rFont val="Noto Sans"/>
        <family val="0"/>
        <charset val="1"/>
      </rPr>
      <t xml:space="preserve">100%</t>
    </r>
    <r>
      <rPr>
        <b val="true"/>
        <sz val="13"/>
        <color rgb="FF000000"/>
        <rFont val="Noto Sans CJK SC"/>
        <family val="2"/>
      </rPr>
      <t xml:space="preserve">のプレビューを確認してください。</t>
    </r>
    <r>
      <rPr>
        <b val="true"/>
        <sz val="13"/>
        <color rgb="FF000000"/>
        <rFont val="Noto Sans"/>
        <family val="0"/>
        <charset val="1"/>
      </rPr>
      <t xml:space="preserve">1</t>
    </r>
    <r>
      <rPr>
        <b val="true"/>
        <sz val="13"/>
        <color rgb="FF000000"/>
        <rFont val="Noto Sans CJK SC"/>
        <family val="2"/>
      </rPr>
      <t xml:space="preserve">ページに収まらない場合は余白または倍率を調整してください。</t>
    </r>
  </si>
  <si>
    <t xml:space="preserve">文字と配置</t>
  </si>
  <si>
    <r>
      <rPr>
        <b val="true"/>
        <sz val="13"/>
        <color rgb="FF000000"/>
        <rFont val="Noto Sans CJK SC"/>
        <family val="2"/>
      </rPr>
      <t xml:space="preserve">見本は </t>
    </r>
    <r>
      <rPr>
        <b val="true"/>
        <sz val="13"/>
        <color rgb="FF000000"/>
        <rFont val="Noto Sans"/>
        <family val="0"/>
        <charset val="1"/>
      </rPr>
      <t xml:space="preserve">Klee One</t>
    </r>
    <r>
      <rPr>
        <b val="true"/>
        <sz val="13"/>
        <color rgb="FF000000"/>
        <rFont val="Noto Sans CJK SC"/>
        <family val="2"/>
      </rPr>
      <t xml:space="preserve">・</t>
    </r>
    <r>
      <rPr>
        <b val="true"/>
        <sz val="13"/>
        <color rgb="FF000000"/>
        <rFont val="Noto Sans"/>
        <family val="0"/>
        <charset val="1"/>
      </rPr>
      <t xml:space="preserve">18pt</t>
    </r>
    <r>
      <rPr>
        <b val="true"/>
        <sz val="13"/>
        <color rgb="FF000000"/>
        <rFont val="Noto Sans CJK SC"/>
        <family val="2"/>
      </rPr>
      <t xml:space="preserve">です。</t>
    </r>
    <r>
      <rPr>
        <b val="true"/>
        <sz val="13"/>
        <color rgb="FF000000"/>
        <rFont val="Noto Sans"/>
        <family val="0"/>
        <charset val="1"/>
      </rPr>
      <t xml:space="preserve">Klee One</t>
    </r>
    <r>
      <rPr>
        <b val="true"/>
        <sz val="13"/>
        <color rgb="FF000000"/>
        <rFont val="Noto Sans CJK SC"/>
        <family val="2"/>
      </rPr>
      <t xml:space="preserve">の表示には端末へのインストールが必要です。端末にない場合は代替書体になります。印刷プレビューで確認し、必要ならインストール済みの読みやすい書体を選んでください。フォントは同梱していません。書式は「長文印刷用」の</t>
    </r>
    <r>
      <rPr>
        <b val="true"/>
        <sz val="13"/>
        <color rgb="FF000000"/>
        <rFont val="Noto Sans"/>
        <family val="0"/>
        <charset val="1"/>
      </rPr>
      <t xml:space="preserve">A4:J17</t>
    </r>
    <r>
      <rPr>
        <b val="true"/>
        <sz val="13"/>
        <color rgb="FF000000"/>
        <rFont val="Noto Sans CJK SC"/>
        <family val="2"/>
      </rPr>
      <t xml:space="preserve">で変更できます。右端から読みます。句読点の禁則処理は行いません。</t>
    </r>
  </si>
  <si>
    <r>
      <rPr>
        <sz val="13"/>
        <color rgb="FF000000"/>
        <rFont val="Noto Sans CJK SC"/>
        <family val="2"/>
      </rPr>
      <t xml:space="preserve">標準</t>
    </r>
    <r>
      <rPr>
        <sz val="13"/>
        <color rgb="FF000000"/>
        <rFont val="Noto Sans"/>
        <family val="0"/>
        <charset val="1"/>
      </rPr>
      <t xml:space="preserve">70</t>
    </r>
    <r>
      <rPr>
        <sz val="13"/>
        <color rgb="FF000000"/>
        <rFont val="Noto Sans CJK SC"/>
        <family val="2"/>
      </rPr>
      <t xml:space="preserve">文字</t>
    </r>
  </si>
  <si>
    <r>
      <rPr>
        <b val="true"/>
        <u val="single"/>
        <sz val="13"/>
        <color rgb="FF000000"/>
        <rFont val="Noto Sans"/>
        <family val="0"/>
        <charset val="1"/>
      </rPr>
      <t xml:space="preserve">2</t>
    </r>
    <r>
      <rPr>
        <b val="true"/>
        <u val="single"/>
        <sz val="13"/>
        <color rgb="FF000000"/>
        <rFont val="Noto Sans CJK SC"/>
        <family val="2"/>
      </rPr>
      <t xml:space="preserve">回分の短い文章は、画面下の「短文入力」シートを選びます。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</si>
</sst>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&quot;文字&quot;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4"/>
      <color rgb="FF000000"/>
      <name val="Noto Sans"/>
      <family val="0"/>
      <charset val="1"/>
    </font>
    <font>
      <sz val="10"/>
      <color theme="1"/>
      <name val="Noto Sans CJK SC"/>
      <family val="2"/>
    </font>
    <font>
      <sz val="12"/>
      <color theme="1"/>
      <name val="Noto Sans CJK SC"/>
      <family val="2"/>
    </font>
    <font>
      <sz val="10"/>
      <color rgb="FF000000"/>
      <name val="Noto Sans"/>
      <family val="0"/>
      <charset val="1"/>
    </font>
    <font>
      <sz val="18"/>
      <color theme="1"/>
      <name val="Klee One"/>
      <family val="0"/>
      <charset val="1"/>
    </font>
    <font>
      <sz val="18"/>
      <color theme="1"/>
      <name val="Noto Sans JP"/>
      <family val="0"/>
      <charset val="1"/>
    </font>
    <font>
      <sz val="18"/>
      <color rgb="FF000000"/>
      <name val="Noto Sans JP"/>
      <family val="0"/>
      <charset val="1"/>
    </font>
    <font>
      <sz val="10"/>
      <color rgb="FF000000"/>
      <name val="Noto Sans CJK SC"/>
      <family val="2"/>
    </font>
    <font>
      <sz val="18"/>
      <color rgb="FF000000"/>
      <name val="Noto Sans"/>
      <family val="0"/>
      <charset val="1"/>
    </font>
    <font>
      <b val="true"/>
      <sz val="14"/>
      <color theme="1"/>
      <name val="Noto Sans JP"/>
      <family val="0"/>
      <charset val="1"/>
    </font>
    <font>
      <sz val="12"/>
      <color theme="1"/>
      <name val="Noto Sans JP"/>
      <family val="0"/>
      <charset val="1"/>
    </font>
    <font>
      <b val="true"/>
      <sz val="18"/>
      <color rgb="FF000000"/>
      <name val="Noto Sans CJK SC"/>
      <family val="2"/>
    </font>
    <font>
      <sz val="13"/>
      <color rgb="FF000000"/>
      <name val="Noto Sans"/>
      <family val="0"/>
      <charset val="1"/>
    </font>
    <font>
      <sz val="13"/>
      <color rgb="FF000000"/>
      <name val="Noto Sans CJK SC"/>
      <family val="2"/>
    </font>
    <font>
      <b val="true"/>
      <sz val="15"/>
      <color rgb="FF000000"/>
      <name val="Noto Sans CJK SC"/>
      <family val="2"/>
    </font>
    <font>
      <sz val="14"/>
      <color rgb="FF000000"/>
      <name val="Noto Sans CJK SC"/>
      <family val="2"/>
    </font>
    <font>
      <b val="true"/>
      <sz val="13"/>
      <color rgb="FF000000"/>
      <name val="Noto Sans"/>
      <family val="0"/>
      <charset val="1"/>
    </font>
    <font>
      <b val="true"/>
      <sz val="13"/>
      <color rgb="FF000000"/>
      <name val="Noto Sans CJK SC"/>
      <family val="2"/>
    </font>
    <font>
      <b val="true"/>
      <sz val="18"/>
      <color rgb="FF000000"/>
      <name val="Noto Sans"/>
      <family val="0"/>
      <charset val="1"/>
    </font>
    <font>
      <b val="true"/>
      <u val="single"/>
      <sz val="13"/>
      <color rgb="FF000000"/>
      <name val="Noto Sans CJK SC"/>
      <family val="2"/>
    </font>
    <font>
      <b val="true"/>
      <u val="single"/>
      <sz val="13"/>
      <color rgb="FF000000"/>
      <name val="Noto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4F4F4"/>
      </patternFill>
    </fill>
    <fill>
      <patternFill patternType="solid">
        <fgColor rgb="FFEEEEEE"/>
        <bgColor rgb="FFF4F4F4"/>
      </patternFill>
    </fill>
    <fill>
      <patternFill patternType="solid">
        <fgColor rgb="FFFFF2CC"/>
        <bgColor rgb="FFFCE4D6"/>
      </patternFill>
    </fill>
    <fill>
      <patternFill patternType="solid">
        <fgColor rgb="FFF4F4F4"/>
        <bgColor rgb="FFEEEEE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BBBBBB"/>
      </right>
      <top style="thin">
        <color rgb="FF888888"/>
      </top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888888"/>
      </top>
      <bottom/>
      <diagonal/>
    </border>
    <border diagonalUp="false" diagonalDown="false">
      <left style="thin">
        <color rgb="FFBBBBBB"/>
      </left>
      <right style="thin">
        <color rgb="FF888888"/>
      </right>
      <top style="thin">
        <color rgb="FF888888"/>
      </top>
      <bottom/>
      <diagonal/>
    </border>
    <border diagonalUp="false" diagonalDown="false">
      <left style="thin">
        <color rgb="FF888888"/>
      </left>
      <right style="thin">
        <color rgb="FFBBBBBB"/>
      </right>
      <top/>
      <bottom/>
      <diagonal/>
    </border>
    <border diagonalUp="false" diagonalDown="false">
      <left style="thin">
        <color rgb="FFBBBBBB"/>
      </left>
      <right style="thin">
        <color rgb="FFBBBBBB"/>
      </right>
      <top/>
      <bottom/>
      <diagonal/>
    </border>
    <border diagonalUp="false" diagonalDown="false">
      <left style="thin">
        <color rgb="FFBBBBBB"/>
      </left>
      <right style="thin">
        <color rgb="FF888888"/>
      </right>
      <top/>
      <bottom/>
      <diagonal/>
    </border>
    <border diagonalUp="false" diagonalDown="false">
      <left style="thin">
        <color rgb="FF888888"/>
      </left>
      <right style="thin">
        <color rgb="FFBBBBBB"/>
      </right>
      <top/>
      <bottom style="thin">
        <color rgb="FF888888"/>
      </bottom>
      <diagonal/>
    </border>
    <border diagonalUp="false" diagonalDown="false">
      <left style="thin">
        <color rgb="FFBBBBBB"/>
      </left>
      <right style="thin">
        <color rgb="FFBBBBBB"/>
      </right>
      <top/>
      <bottom style="thin">
        <color rgb="FF888888"/>
      </bottom>
      <diagonal/>
    </border>
    <border diagonalUp="false" diagonalDown="false">
      <left style="thin">
        <color rgb="FFBBBBBB"/>
      </left>
      <right style="thin">
        <color rgb="FF888888"/>
      </right>
      <top/>
      <bottom style="thin">
        <color rgb="FF888888"/>
      </bottom>
      <diagonal/>
    </border>
    <border diagonalUp="false" diagonalDown="false">
      <left/>
      <right/>
      <top/>
      <bottom style="hair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A1:J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false" zeroHeight="false" outlineLevelRow="0" outlineLevelCol="0"/>
  <cols>
    <col collapsed="false" customWidth="true" hidden="false" outlineLevel="0" max="10" min="1" style="0" width="9"/>
    <col collapsed="false" customWidth="true" hidden="false" outlineLevel="0" max="26" min="11" style="0" width="8.63"/>
  </cols>
  <sheetData>
    <row r="1" customFormat="false" ht="22.5" hidden="false" customHeight="true" outlineLevel="0" collapsed="false">
      <c r="A1" s="1" t="str">
        <f aca="false">IF(短文入力!B10="","",IF(LEN(短文入力!B10)&gt;30,"印刷タイトルを30文字以内にしてください",短文入力!B10))</f>
        <v/>
      </c>
      <c r="B1" s="1"/>
      <c r="C1" s="1"/>
      <c r="D1" s="1"/>
      <c r="E1" s="1"/>
      <c r="F1" s="1"/>
      <c r="G1" s="1"/>
      <c r="H1" s="1"/>
      <c r="I1" s="1"/>
      <c r="J1" s="2" t="s">
        <v>0</v>
      </c>
    </row>
    <row r="2" customFormat="false" ht="20.25" hidden="false" customHeight="true" outlineLevel="0" collapsed="false">
      <c r="A2" s="3" t="s">
        <v>1</v>
      </c>
      <c r="B2" s="3"/>
      <c r="C2" s="3" t="s">
        <v>2</v>
      </c>
      <c r="D2" s="3"/>
      <c r="E2" s="3"/>
      <c r="F2" s="3"/>
      <c r="G2" s="3"/>
      <c r="H2" s="4" t="str">
        <f aca="false">IF(OR(短文入力!B11="",SUBSTITUTE(SUBSTITUTE(短文入力!B11,"　","")," ","")="月日"),"　　　　月　　　　日",短文入力!B11)</f>
        <v>　　　　月　　　　日</v>
      </c>
      <c r="I2" s="4"/>
      <c r="J2" s="4"/>
    </row>
    <row r="3" customFormat="false" ht="7.5" hidden="false" customHeight="true" outlineLevel="0" collapsed="false">
      <c r="A3" s="5"/>
      <c r="B3" s="6"/>
      <c r="C3" s="6"/>
      <c r="D3" s="6"/>
      <c r="E3" s="6"/>
      <c r="F3" s="6"/>
      <c r="G3" s="6"/>
      <c r="H3" s="6"/>
      <c r="I3" s="6"/>
      <c r="J3" s="7"/>
    </row>
    <row r="4" customFormat="false" ht="22.5" hidden="false" customHeight="true" outlineLevel="0" collapsed="false">
      <c r="A4" s="8" t="str">
        <f aca="false">IF(OR(短文入力!B13&gt;70,短文入力!B13=0),"",MID(短文入力!D13,64,1))</f>
        <v/>
      </c>
      <c r="B4" s="9" t="str">
        <f aca="false">IF(OR(短文入力!B13&gt;70,短文入力!B13=0),"",MID(短文入力!D13,57,1))</f>
        <v>き</v>
      </c>
      <c r="C4" s="9" t="str">
        <f aca="false">IF(OR(短文入力!B13&gt;70,短文入力!B13=0),"",MID(短文入力!D13,50,1))</f>
        <v>静</v>
      </c>
      <c r="D4" s="9" t="str">
        <f aca="false">IF(OR(短文入力!B13&gt;70,短文入力!B13=0),"",MID(短文入力!D13,43,1))</f>
        <v>木</v>
      </c>
      <c r="E4" s="9" t="str">
        <f aca="false">IF(OR(短文入力!B13&gt;70,短文入力!B13=0),"",MID(短文入力!D13,36,1))</f>
        <v>く</v>
      </c>
      <c r="F4" s="9" t="str">
        <f aca="false">IF(OR(短文入力!B13&gt;70,短文入力!B13=0),"",MID(短文入力!D13,29,1))</f>
        <v>び</v>
      </c>
      <c r="G4" s="9" t="str">
        <f aca="false">IF(OR(短文入力!B13&gt;70,短文入力!B13=0),"",MID(短文入力!D13,22,1))</f>
        <v>す</v>
      </c>
      <c r="H4" s="9" t="str">
        <f aca="false">IF(OR(短文入力!B13&gt;70,短文入力!B13=0),"",MID(短文入力!D13,15,1))</f>
        <v>が</v>
      </c>
      <c r="I4" s="9" t="str">
        <f aca="false">IF(OR(短文入力!B13&gt;70,短文入力!B13=0),"",MID(短文入力!D13,8,1))</f>
        <v>︑</v>
      </c>
      <c r="J4" s="10" t="str">
        <f aca="false">IF(OR(短文入力!B13&gt;70,短文入力!B13=0),"",MID(短文入力!D13,1,1))</f>
        <v>秋</v>
      </c>
    </row>
    <row r="5" customFormat="false" ht="22.5" hidden="false" customHeight="true" outlineLevel="0" collapsed="false">
      <c r="A5" s="8" t="str">
        <f aca="false">IF(OR(短文入力!B13&gt;70,短文入力!B13=0),"",MID(短文入力!D13,65,1))</f>
        <v/>
      </c>
      <c r="B5" s="9" t="str">
        <f aca="false">IF(OR(短文入力!B13&gt;70,短文入力!B13=0),"",MID(短文入力!D13,58,1))</f>
        <v>ま</v>
      </c>
      <c r="C5" s="9" t="str">
        <f aca="false">IF(OR(短文入力!B13&gt;70,短文入力!B13=0),"",MID(短文入力!D13,51,1))</f>
        <v>か</v>
      </c>
      <c r="D5" s="9" t="str">
        <f aca="false">IF(OR(短文入力!B13&gt;70,短文入力!B13=0),"",MID(短文入力!D13,44,1))</f>
        <v>漏</v>
      </c>
      <c r="E5" s="9" t="str">
        <f aca="false">IF(OR(短文入力!B13&gt;70,短文入力!B13=0),"",MID(短文入力!D13,37,1))</f>
        <v>る</v>
      </c>
      <c r="F5" s="9" t="str">
        <f aca="false">IF(OR(短文入力!B13&gt;70,短文入力!B13=0),"",MID(短文入力!D13,30,1))</f>
        <v>に</v>
      </c>
      <c r="G5" s="9" t="str">
        <f aca="false">IF(OR(短文入力!B13&gt;70,短文入力!B13=0),"",MID(短文入力!D13,23,1))</f>
        <v>︒</v>
      </c>
      <c r="H5" s="9" t="str">
        <f aca="false">IF(OR(短文入力!B13&gt;70,短文入力!B13=0),"",MID(短文入力!D13,16,1))</f>
        <v>重</v>
      </c>
      <c r="I5" s="9" t="str">
        <f aca="false">IF(OR(短文入力!B13&gt;70,短文入力!B13=0),"",MID(短文入力!D13,9,1))</f>
        <v>赤</v>
      </c>
      <c r="J5" s="10" t="str">
        <f aca="false">IF(OR(短文入力!B13&gt;70,短文入力!B13=0),"",MID(短文入力!D13,2,1))</f>
        <v>の</v>
      </c>
    </row>
    <row r="6" customFormat="false" ht="22.5" hidden="false" customHeight="true" outlineLevel="0" collapsed="false">
      <c r="A6" s="8" t="str">
        <f aca="false">IF(OR(短文入力!B13&gt;70,短文入力!B13=0),"",MID(短文入力!D13,66,1))</f>
        <v/>
      </c>
      <c r="B6" s="9" t="str">
        <f aca="false">IF(OR(短文入力!B13&gt;70,短文入力!B13=0),"",MID(短文入力!D13,59,1))</f>
        <v>し</v>
      </c>
      <c r="C6" s="9" t="str">
        <f aca="false">IF(OR(短文入力!B13&gt;70,短文入力!B13=0),"",MID(短文入力!D13,52,1))</f>
        <v>に</v>
      </c>
      <c r="D6" s="9" t="str">
        <f aca="false">IF(OR(短文入力!B13&gt;70,短文入力!B13=0),"",MID(短文入力!D13,45,1))</f>
        <v>れ</v>
      </c>
      <c r="E6" s="9" t="str">
        <f aca="false">IF(OR(短文入力!B13&gt;70,短文入力!B13=0),"",MID(短文入力!D13,38,1))</f>
        <v>り</v>
      </c>
      <c r="F6" s="9" t="str">
        <f aca="false">IF(OR(短文入力!B13&gt;70,短文入力!B13=0),"",MID(短文入力!D13,31,1))</f>
        <v>一</v>
      </c>
      <c r="G6" s="9" t="str">
        <f aca="false">IF(OR(短文入力!B13&gt;70,短文入力!B13=0),"",MID(短文入力!D13,24,1))</f>
        <v>風</v>
      </c>
      <c r="H6" s="9" t="str">
        <f aca="false">IF(OR(短文入力!B13&gt;70,短文入力!B13=0),"",MID(短文入力!D13,17,1))</f>
        <v>な</v>
      </c>
      <c r="I6" s="9" t="str">
        <f aca="false">IF(OR(短文入力!B13&gt;70,短文入力!B13=0),"",MID(短文入力!D13,10,1))</f>
        <v>や</v>
      </c>
      <c r="J6" s="10" t="str">
        <f aca="false">IF(OR(短文入力!B13&gt;70,短文入力!B13=0),"",MID(短文入力!D13,3,1))</f>
        <v>小</v>
      </c>
    </row>
    <row r="7" customFormat="false" ht="22.5" hidden="false" customHeight="true" outlineLevel="0" collapsed="false">
      <c r="A7" s="8" t="str">
        <f aca="false">IF(OR(短文入力!B13&gt;70,短文入力!B13=0),"",MID(短文入力!D13,67,1))</f>
        <v/>
      </c>
      <c r="B7" s="9" t="str">
        <f aca="false">IF(OR(短文入力!B13&gt;70,短文入力!B13=0),"",MID(短文入力!D13,60,1))</f>
        <v>た</v>
      </c>
      <c r="C7" s="9" t="str">
        <f aca="false">IF(OR(短文入力!B13&gt;70,短文入力!B13=0),"",MID(短文入力!D13,53,1))</f>
        <v>降</v>
      </c>
      <c r="D7" s="9" t="str">
        <f aca="false">IF(OR(短文入力!B13&gt;70,短文入力!B13=0),"",MID(短文入力!D13,46,1))</f>
        <v>日</v>
      </c>
      <c r="E7" s="9" t="str">
        <f aca="false">IF(OR(短文入力!B13&gt;70,短文入力!B13=0),"",MID(短文入力!D13,39,1))</f>
        <v>と</v>
      </c>
      <c r="F7" s="9" t="str">
        <f aca="false">IF(OR(短文入力!B13&gt;70,短文入力!B13=0),"",MID(短文入力!D13,32,1))</f>
        <v>枚</v>
      </c>
      <c r="G7" s="9" t="str">
        <f aca="false">IF(OR(短文入力!B13&gt;70,短文入力!B13=0),"",MID(短文入力!D13,25,1))</f>
        <v>が</v>
      </c>
      <c r="H7" s="9" t="str">
        <f aca="false">IF(OR(短文入力!B13&gt;70,短文入力!B13=0),"",MID(短文入力!D13,18,1))</f>
        <v>っ</v>
      </c>
      <c r="I7" s="9" t="str">
        <f aca="false">IF(OR(短文入力!B13&gt;70,短文入力!B13=0),"",MID(短文入力!D13,11,1))</f>
        <v>黄</v>
      </c>
      <c r="J7" s="10" t="str">
        <f aca="false">IF(OR(短文入力!B13&gt;70,短文入力!B13=0),"",MID(短文入力!D13,4,1))</f>
        <v>道</v>
      </c>
    </row>
    <row r="8" customFormat="false" ht="22.5" hidden="false" customHeight="true" outlineLevel="0" collapsed="false">
      <c r="A8" s="8" t="str">
        <f aca="false">IF(OR(短文入力!B13&gt;70,短文入力!B13=0),"",MID(短文入力!D13,68,1))</f>
        <v/>
      </c>
      <c r="B8" s="9" t="str">
        <f aca="false">IF(OR(短文入力!B13&gt;70,短文入力!B13=0),"",MID(短文入力!D13,61,1))</f>
        <v>︒</v>
      </c>
      <c r="C8" s="9" t="str">
        <f aca="false">IF(OR(短文入力!B13&gt;70,短文入力!B13=0),"",MID(短文入力!D13,54,1))</f>
        <v>り</v>
      </c>
      <c r="D8" s="9" t="str">
        <f aca="false">IF(OR(短文入力!B13&gt;70,短文入力!B13=0),"",MID(短文入力!D13,47,1))</f>
        <v>の</v>
      </c>
      <c r="E8" s="9" t="str">
        <f aca="false">IF(OR(短文入力!B13&gt;70,短文入力!B13=0),"",MID(短文入力!D13,40,1))</f>
        <v>舞</v>
      </c>
      <c r="F8" s="9" t="str">
        <f aca="false">IF(OR(短文入力!B13&gt;70,短文入力!B13=0),"",MID(短文入力!D13,33,1))</f>
        <v>の</v>
      </c>
      <c r="G8" s="9" t="str">
        <f aca="false">IF(OR(短文入力!B13&gt;70,短文入力!B13=0),"",MID(短文入力!D13,26,1))</f>
        <v>通</v>
      </c>
      <c r="H8" s="9" t="str">
        <f aca="false">IF(OR(短文入力!B13&gt;70,短文入力!B13=0),"",MID(短文入力!D13,19,1))</f>
        <v>て</v>
      </c>
      <c r="I8" s="9" t="str">
        <f aca="false">IF(OR(短文入力!B13&gt;70,短文入力!B13=0),"",MID(短文入力!D13,12,1))</f>
        <v>色</v>
      </c>
      <c r="J8" s="10" t="str">
        <f aca="false">IF(OR(短文入力!B13&gt;70,短文入力!B13=0),"",MID(短文入力!D13,5,1))</f>
        <v>の</v>
      </c>
    </row>
    <row r="9" customFormat="false" ht="22.5" hidden="false" customHeight="true" outlineLevel="0" collapsed="false">
      <c r="A9" s="8" t="str">
        <f aca="false">IF(OR(短文入力!B13&gt;70,短文入力!B13=0),"",MID(短文入力!D13,69,1))</f>
        <v/>
      </c>
      <c r="B9" s="9" t="str">
        <f aca="false">IF(OR(短文入力!B13&gt;70,短文入力!B13=0),"",MID(短文入力!D13,62,1))</f>
        <v/>
      </c>
      <c r="C9" s="9" t="str">
        <f aca="false">IF(OR(短文入力!B13&gt;70,短文入力!B13=0),"",MID(短文入力!D13,55,1))</f>
        <v>て</v>
      </c>
      <c r="D9" s="9" t="str">
        <f aca="false">IF(OR(短文入力!B13&gt;70,短文入力!B13=0),"",MID(短文入力!D13,48,1))</f>
        <v>中</v>
      </c>
      <c r="E9" s="9" t="str">
        <f aca="false">IF(OR(短文入力!B13&gt;70,短文入力!B13=0),"",MID(短文入力!D13,41,1))</f>
        <v>い</v>
      </c>
      <c r="F9" s="9" t="str">
        <f aca="false">IF(OR(短文入力!B13&gt;70,短文入力!B13=0),"",MID(短文入力!D13,34,1))</f>
        <v>葉</v>
      </c>
      <c r="G9" s="9" t="str">
        <f aca="false">IF(OR(短文入力!B13&gt;70,短文入力!B13=0),"",MID(短文入力!D13,27,1))</f>
        <v>る</v>
      </c>
      <c r="H9" s="9" t="str">
        <f aca="false">IF(OR(短文入力!B13&gt;70,短文入力!B13=0),"",MID(短文入力!D13,20,1))</f>
        <v>い</v>
      </c>
      <c r="I9" s="9" t="str">
        <f aca="false">IF(OR(短文入力!B13&gt;70,短文入力!B13=0),"",MID(短文入力!D13,13,1))</f>
        <v>の</v>
      </c>
      <c r="J9" s="10" t="str">
        <f aca="false">IF(OR(短文入力!B13&gt;70,短文入力!B13=0),"",MID(短文入力!D13,6,1))</f>
        <v>上</v>
      </c>
    </row>
    <row r="10" customFormat="false" ht="22.5" hidden="false" customHeight="true" outlineLevel="0" collapsed="false">
      <c r="A10" s="8" t="str">
        <f aca="false">IF(OR(短文入力!B13&gt;70,短文入力!B13=0),"",MID(短文入力!D13,70,1))</f>
        <v/>
      </c>
      <c r="B10" s="9" t="str">
        <f aca="false">IF(OR(短文入力!B13&gt;70,短文入力!B13=0),"",MID(短文入力!D13,63,1))</f>
        <v/>
      </c>
      <c r="C10" s="9" t="str">
        <f aca="false">IF(OR(短文入力!B13&gt;70,短文入力!B13=0),"",MID(短文入力!D13,56,1))</f>
        <v>い</v>
      </c>
      <c r="D10" s="9" t="str">
        <f aca="false">IF(OR(短文入力!B13&gt;70,短文入力!B13=0),"",MID(短文入力!D13,49,1))</f>
        <v>へ</v>
      </c>
      <c r="E10" s="9" t="str">
        <f aca="false">IF(OR(短文入力!B13&gt;70,短文入力!B13=0),"",MID(短文入力!D13,42,1))</f>
        <v>︑</v>
      </c>
      <c r="F10" s="9" t="str">
        <f aca="false">IF(OR(短文入力!B13&gt;70,短文入力!B13=0),"",MID(短文入力!D13,35,1))</f>
        <v>が</v>
      </c>
      <c r="G10" s="9" t="str">
        <f aca="false">IF(OR(短文入力!B13&gt;70,短文入力!B13=0),"",MID(短文入力!D13,28,1))</f>
        <v>た</v>
      </c>
      <c r="H10" s="9" t="str">
        <f aca="false">IF(OR(短文入力!B13&gt;70,短文入力!B13=0),"",MID(短文入力!D13,21,1))</f>
        <v>ま</v>
      </c>
      <c r="I10" s="9" t="str">
        <f aca="false">IF(OR(短文入力!B13&gt;70,短文入力!B13=0),"",MID(短文入力!D13,14,1))</f>
        <v>葉</v>
      </c>
      <c r="J10" s="10" t="str">
        <f aca="false">IF(OR(短文入力!B13&gt;70,短文入力!B13=0),"",MID(短文入力!D13,7,1))</f>
        <v>に</v>
      </c>
    </row>
    <row r="11" customFormat="false" ht="7.5" hidden="false" customHeight="true" outlineLevel="0" collapsed="false">
      <c r="A11" s="11"/>
      <c r="B11" s="12"/>
      <c r="C11" s="13"/>
      <c r="D11" s="13"/>
      <c r="E11" s="13"/>
      <c r="F11" s="13"/>
      <c r="G11" s="13"/>
      <c r="H11" s="13"/>
      <c r="I11" s="13"/>
      <c r="J11" s="14"/>
    </row>
    <row r="12" customFormat="false" ht="12" hidden="false" customHeight="true" outlineLevel="0" collapsed="false">
      <c r="A12" s="15" t="s">
        <v>3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21" hidden="false" customHeight="true" outlineLevel="0" collapsed="false">
      <c r="A13" s="16"/>
      <c r="B13" s="17"/>
      <c r="C13" s="17"/>
      <c r="D13" s="17"/>
      <c r="E13" s="17"/>
      <c r="F13" s="17"/>
      <c r="G13" s="17"/>
      <c r="H13" s="17"/>
      <c r="I13" s="17"/>
      <c r="J13" s="18"/>
    </row>
    <row r="14" customFormat="false" ht="21" hidden="false" customHeight="true" outlineLevel="0" collapsed="false">
      <c r="A14" s="19"/>
      <c r="B14" s="20"/>
      <c r="C14" s="20"/>
      <c r="D14" s="20"/>
      <c r="E14" s="20"/>
      <c r="F14" s="20"/>
      <c r="G14" s="20"/>
      <c r="H14" s="20"/>
      <c r="I14" s="20"/>
      <c r="J14" s="21"/>
    </row>
    <row r="15" customFormat="false" ht="21" hidden="false" customHeight="true" outlineLevel="0" collapsed="false">
      <c r="A15" s="19"/>
      <c r="B15" s="20"/>
      <c r="C15" s="20"/>
      <c r="D15" s="20"/>
      <c r="E15" s="20"/>
      <c r="F15" s="20"/>
      <c r="G15" s="20"/>
      <c r="H15" s="20"/>
      <c r="I15" s="20"/>
      <c r="J15" s="21"/>
    </row>
    <row r="16" customFormat="false" ht="21" hidden="false" customHeight="true" outlineLevel="0" collapsed="false">
      <c r="A16" s="19"/>
      <c r="B16" s="20"/>
      <c r="C16" s="20"/>
      <c r="D16" s="20"/>
      <c r="E16" s="20"/>
      <c r="F16" s="20"/>
      <c r="G16" s="20"/>
      <c r="H16" s="20"/>
      <c r="I16" s="20"/>
      <c r="J16" s="21"/>
    </row>
    <row r="17" customFormat="false" ht="21" hidden="false" customHeight="true" outlineLevel="0" collapsed="false">
      <c r="A17" s="19"/>
      <c r="B17" s="20"/>
      <c r="C17" s="20"/>
      <c r="D17" s="20"/>
      <c r="E17" s="20"/>
      <c r="F17" s="20"/>
      <c r="G17" s="20"/>
      <c r="H17" s="20"/>
      <c r="I17" s="20"/>
      <c r="J17" s="21"/>
    </row>
    <row r="18" customFormat="false" ht="21" hidden="false" customHeight="true" outlineLevel="0" collapsed="false">
      <c r="A18" s="19"/>
      <c r="B18" s="20"/>
      <c r="C18" s="20"/>
      <c r="D18" s="20"/>
      <c r="E18" s="20"/>
      <c r="F18" s="20"/>
      <c r="G18" s="20"/>
      <c r="H18" s="20"/>
      <c r="I18" s="20"/>
      <c r="J18" s="21"/>
    </row>
    <row r="19" customFormat="false" ht="21" hidden="false" customHeight="true" outlineLevel="0" collapsed="false">
      <c r="A19" s="22"/>
      <c r="B19" s="23"/>
      <c r="C19" s="23"/>
      <c r="D19" s="23"/>
      <c r="E19" s="23"/>
      <c r="F19" s="23"/>
      <c r="G19" s="23"/>
      <c r="H19" s="23"/>
      <c r="I19" s="23"/>
      <c r="J19" s="24"/>
    </row>
    <row r="20" customFormat="false" ht="12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22.5" hidden="false" customHeight="true" outlineLevel="0" collapsed="false">
      <c r="A21" s="1" t="str">
        <f aca="false">IF(短文入力!B19="","",IF(LEN(短文入力!B19)&gt;30,"印刷タイトルを30文字以内にしてください",短文入力!B19))</f>
        <v/>
      </c>
      <c r="B21" s="1"/>
      <c r="C21" s="1"/>
      <c r="D21" s="1"/>
      <c r="E21" s="1"/>
      <c r="F21" s="1"/>
      <c r="G21" s="1"/>
      <c r="H21" s="1"/>
      <c r="I21" s="1"/>
      <c r="J21" s="2" t="s">
        <v>0</v>
      </c>
    </row>
    <row r="22" customFormat="false" ht="20.25" hidden="false" customHeight="true" outlineLevel="0" collapsed="false">
      <c r="A22" s="3" t="s">
        <v>1</v>
      </c>
      <c r="B22" s="3"/>
      <c r="C22" s="3" t="s">
        <v>2</v>
      </c>
      <c r="D22" s="3"/>
      <c r="E22" s="3"/>
      <c r="F22" s="3"/>
      <c r="G22" s="3"/>
      <c r="H22" s="4" t="str">
        <f aca="false">IF(OR(短文入力!B20="",SUBSTITUTE(SUBSTITUTE(短文入力!B20,"　","")," ","")="月日"),"　　　　月　　　　日",短文入力!B20)</f>
        <v>　　　　月　　　　日</v>
      </c>
      <c r="I22" s="4"/>
      <c r="J22" s="4"/>
    </row>
    <row r="23" customFormat="false" ht="7.5" hidden="false" customHeight="true" outlineLevel="0" collapsed="false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customFormat="false" ht="22.5" hidden="false" customHeight="true" outlineLevel="0" collapsed="false">
      <c r="A24" s="8" t="str">
        <f aca="false">IF(OR(短文入力!B22&gt;70,短文入力!B22=0),"",MID(短文入力!D22,64,1))</f>
        <v/>
      </c>
      <c r="B24" s="9" t="str">
        <f aca="false">IF(OR(短文入力!B22&gt;70,短文入力!B22=0),"",MID(短文入力!D22,57,1))</f>
        <v>な</v>
      </c>
      <c r="C24" s="9" t="str">
        <f aca="false">IF(OR(短文入力!B22&gt;70,短文入力!B22=0),"",MID(短文入力!D22,50,1))</f>
        <v>と</v>
      </c>
      <c r="D24" s="9" t="str">
        <f aca="false">IF(OR(短文入力!B22&gt;70,短文入力!B22=0),"",MID(短文入力!D22,43,1))</f>
        <v>鳥</v>
      </c>
      <c r="E24" s="9" t="str">
        <f aca="false">IF(OR(短文入力!B22&gt;70,短文入力!B22=0),"",MID(短文入力!D22,36,1))</f>
        <v>︑</v>
      </c>
      <c r="F24" s="9" t="str">
        <f aca="false">IF(OR(短文入力!B22&gt;70,短文入力!B22=0),"",MID(短文入力!D22,29,1))</f>
        <v>茶</v>
      </c>
      <c r="G24" s="9" t="str">
        <f aca="false">IF(OR(短文入力!B22&gt;70,短文入力!B22=0),"",MID(短文入力!D22,22,1))</f>
        <v>す</v>
      </c>
      <c r="H24" s="9" t="str">
        <f aca="false">IF(OR(短文入力!B22&gt;70,短文入力!B22=0),"",MID(短文入力!D22,15,1))</f>
        <v>光</v>
      </c>
      <c r="I24" s="9" t="str">
        <f aca="false">IF(OR(短文入力!B22&gt;70,短文入力!B22=0),"",MID(短文入力!D22,8,1))</f>
        <v>湯</v>
      </c>
      <c r="J24" s="10" t="str">
        <f aca="false">IF(OR(短文入力!B22&gt;70,短文入力!B22=0),"",MID(短文入力!D22,1,1))</f>
        <v>湯</v>
      </c>
    </row>
    <row r="25" customFormat="false" ht="22.5" hidden="false" customHeight="true" outlineLevel="0" collapsed="false">
      <c r="A25" s="8" t="str">
        <f aca="false">IF(OR(短文入力!B22&gt;70,短文入力!B22=0),"",MID(短文入力!D22,65,1))</f>
        <v/>
      </c>
      <c r="B25" s="9" t="str">
        <f aca="false">IF(OR(短文入力!B22&gt;70,短文入力!B22=0),"",MID(短文入力!D22,58,1))</f>
        <v>り</v>
      </c>
      <c r="C25" s="9" t="str">
        <f aca="false">IF(OR(短文入力!B22&gt;70,短文入力!B22=0),"",MID(短文入力!D22,51,1))</f>
        <v>耳</v>
      </c>
      <c r="D25" s="9" t="str">
        <f aca="false">IF(OR(短文入力!B22&gt;70,短文入力!B22=0),"",MID(短文入力!D22,44,1))</f>
        <v>の</v>
      </c>
      <c r="E25" s="9" t="str">
        <f aca="false">IF(OR(短文入力!B22&gt;70,短文入力!B22=0),"",MID(短文入力!D22,37,1))</f>
        <v>庭</v>
      </c>
      <c r="F25" s="9" t="str">
        <f aca="false">IF(OR(短文入力!B22&gt;70,短文入力!B22=0),"",MID(短文入力!D22,30,1))</f>
        <v>で</v>
      </c>
      <c r="G25" s="9" t="str">
        <f aca="false">IF(OR(短文入力!B22&gt;70,短文入力!B22=0),"",MID(短文入力!D22,23,1))</f>
        <v>︒</v>
      </c>
      <c r="H25" s="9" t="str">
        <f aca="false">IF(OR(短文入力!B22&gt;70,短文入力!B22=0),"",MID(短文入力!D22,16,1))</f>
        <v>に</v>
      </c>
      <c r="I25" s="9" t="str">
        <f aca="false">IF(OR(短文入力!B22&gt;70,短文入力!B22=0),"",MID(短文入力!D22,9,1))</f>
        <v>気</v>
      </c>
      <c r="J25" s="10" t="str">
        <f aca="false">IF(OR(短文入力!B22&gt;70,短文入力!B22=0),"",MID(短文入力!D22,2,1))</f>
        <v>の</v>
      </c>
    </row>
    <row r="26" customFormat="false" ht="22.5" hidden="false" customHeight="true" outlineLevel="0" collapsed="false">
      <c r="A26" s="8" t="str">
        <f aca="false">IF(OR(短文入力!B22&gt;70,短文入力!B22=0),"",MID(短文入力!D22,66,1))</f>
        <v/>
      </c>
      <c r="B26" s="9" t="str">
        <f aca="false">IF(OR(短文入力!B22&gt;70,短文入力!B22=0),"",MID(短文入力!D22,59,1))</f>
        <v>ま</v>
      </c>
      <c r="C26" s="9" t="str">
        <f aca="false">IF(OR(短文入力!B22&gt;70,短文入力!B22=0),"",MID(短文入力!D22,52,1))</f>
        <v>を</v>
      </c>
      <c r="D26" s="9" t="str">
        <f aca="false">IF(OR(短文入力!B22&gt;70,短文入力!B22=0),"",MID(短文入力!D22,45,1))</f>
        <v>声</v>
      </c>
      <c r="E26" s="9" t="str">
        <f aca="false">IF(OR(短文入力!B22&gt;70,短文入力!B22=0),"",MID(短文入力!D22,38,1))</f>
        <v>を</v>
      </c>
      <c r="F26" s="9" t="str">
        <f aca="false">IF(OR(短文入力!B22&gt;70,短文入力!B22=0),"",MID(短文入力!D22,31,1))</f>
        <v>体</v>
      </c>
      <c r="G26" s="9" t="str">
        <f aca="false">IF(OR(短文入力!B22&gt;70,短文入力!B22=0),"",MID(短文入力!D22,24,1))</f>
        <v>ひ</v>
      </c>
      <c r="H26" s="9" t="str">
        <f aca="false">IF(OR(短文入力!B22&gt;70,短文入力!B22=0),"",MID(短文入力!D22,17,1))</f>
        <v>透</v>
      </c>
      <c r="I26" s="9" t="str">
        <f aca="false">IF(OR(短文入力!B22&gt;70,短文入力!B22=0),"",MID(短文入力!D22,10,1))</f>
        <v>が</v>
      </c>
      <c r="J26" s="10" t="str">
        <f aca="false">IF(OR(短文入力!B22&gt;70,短文入力!B22=0),"",MID(短文入力!D22,3,1))</f>
        <v>み</v>
      </c>
    </row>
    <row r="27" customFormat="false" ht="22.5" hidden="false" customHeight="true" outlineLevel="0" collapsed="false">
      <c r="A27" s="8" t="str">
        <f aca="false">IF(OR(短文入力!B22&gt;70,短文入力!B22=0),"",MID(短文入力!D22,67,1))</f>
        <v/>
      </c>
      <c r="B27" s="9" t="str">
        <f aca="false">IF(OR(短文入力!B22&gt;70,短文入力!B22=0),"",MID(短文入力!D22,60,1))</f>
        <v>し</v>
      </c>
      <c r="C27" s="9" t="str">
        <f aca="false">IF(OR(短文入力!B22&gt;70,短文入力!B22=0),"",MID(短文入力!D22,53,1))</f>
        <v>傾</v>
      </c>
      <c r="D27" s="9" t="str">
        <f aca="false">IF(OR(短文入力!B22&gt;70,短文入力!B22=0),"",MID(短文入力!D22,46,1))</f>
        <v>に</v>
      </c>
      <c r="E27" s="9" t="str">
        <f aca="false">IF(OR(短文入力!B22&gt;70,短文入力!B22=0),"",MID(短文入力!D22,39,1))</f>
        <v>訪</v>
      </c>
      <c r="F27" s="9" t="str">
        <f aca="false">IF(OR(短文入力!B22&gt;70,短文入力!B22=0),"",MID(短文入力!D22,32,1))</f>
        <v>が</v>
      </c>
      <c r="G27" s="9" t="str">
        <f aca="false">IF(OR(短文入力!B22&gt;70,短文入力!B22=0),"",MID(短文入力!D22,25,1))</f>
        <v>と</v>
      </c>
      <c r="H27" s="9" t="str">
        <f aca="false">IF(OR(短文入力!B22&gt;70,短文入力!B22=0),"",MID(短文入力!D22,18,1))</f>
        <v>け</v>
      </c>
      <c r="I27" s="9" t="str">
        <f aca="false">IF(OR(短文入力!B22&gt;70,短文入力!B22=0),"",MID(短文入力!D22,11,1))</f>
        <v>︑</v>
      </c>
      <c r="J27" s="10" t="str">
        <f aca="false">IF(OR(短文入力!B22&gt;70,短文入力!B22=0),"",MID(短文入力!D22,4,1))</f>
        <v>か</v>
      </c>
    </row>
    <row r="28" customFormat="false" ht="22.5" hidden="false" customHeight="true" outlineLevel="0" collapsed="false">
      <c r="A28" s="8" t="str">
        <f aca="false">IF(OR(短文入力!B22&gt;70,短文入力!B22=0),"",MID(短文入力!D22,68,1))</f>
        <v/>
      </c>
      <c r="B28" s="9" t="str">
        <f aca="false">IF(OR(短文入力!B22&gt;70,短文入力!B22=0),"",MID(短文入力!D22,61,1))</f>
        <v>た</v>
      </c>
      <c r="C28" s="9" t="str">
        <f aca="false">IF(OR(短文入力!B22&gt;70,短文入力!B22=0),"",MID(短文入力!D22,54,1))</f>
        <v>け</v>
      </c>
      <c r="D28" s="9" t="str">
        <f aca="false">IF(OR(短文入力!B22&gt;70,短文入力!B22=0),"",MID(短文入力!D22,47,1))</f>
        <v>︑</v>
      </c>
      <c r="E28" s="9" t="str">
        <f aca="false">IF(OR(短文入力!B22&gt;70,短文入力!B22=0),"",MID(短文入力!D22,40,1))</f>
        <v>れ</v>
      </c>
      <c r="F28" s="9" t="str">
        <f aca="false">IF(OR(短文入力!B22&gt;70,短文入力!B22=0),"",MID(短文入力!D22,33,1))</f>
        <v>温</v>
      </c>
      <c r="G28" s="9" t="str">
        <f aca="false">IF(OR(短文入力!B22&gt;70,短文入力!B22=0),"",MID(短文入力!D22,26,1))</f>
        <v>口</v>
      </c>
      <c r="H28" s="9" t="str">
        <f aca="false">IF(OR(短文入力!B22&gt;70,短文入力!B22=0),"",MID(短文入力!D22,19,1))</f>
        <v>て</v>
      </c>
      <c r="I28" s="9" t="str">
        <f aca="false">IF(OR(短文入力!B22&gt;70,短文入力!B22=0),"",MID(短文入力!D22,12,1))</f>
        <v>窓</v>
      </c>
      <c r="J28" s="10" t="str">
        <f aca="false">IF(OR(短文入力!B22&gt;70,短文入力!B22=0),"",MID(短文入力!D22,5,1))</f>
        <v>ら</v>
      </c>
    </row>
    <row r="29" customFormat="false" ht="22.5" hidden="false" customHeight="true" outlineLevel="0" collapsed="false">
      <c r="A29" s="8" t="str">
        <f aca="false">IF(OR(短文入力!B22&gt;70,短文入力!B22=0),"",MID(短文入力!D22,69,1))</f>
        <v/>
      </c>
      <c r="B29" s="9" t="str">
        <f aca="false">IF(OR(短文入力!B22&gt;70,短文入力!B22=0),"",MID(短文入力!D22,62,1))</f>
        <v>︒</v>
      </c>
      <c r="C29" s="9" t="str">
        <f aca="false">IF(OR(短文入力!B22&gt;70,短文入力!B22=0),"",MID(短文入力!D22,55,1))</f>
        <v>た</v>
      </c>
      <c r="D29" s="9" t="str">
        <f aca="false">IF(OR(短文入力!B22&gt;70,短文入力!B22=0),"",MID(短文入力!D22,48,1))</f>
        <v>自</v>
      </c>
      <c r="E29" s="9" t="str">
        <f aca="false">IF(OR(短文入力!B22&gt;70,短文入力!B22=0),"",MID(短文入力!D22,41,1))</f>
        <v>た</v>
      </c>
      <c r="F29" s="9" t="str">
        <f aca="false">IF(OR(短文入力!B22&gt;70,短文入力!B22=0),"",MID(短文入力!D22,34,1))</f>
        <v>ま</v>
      </c>
      <c r="G29" s="9" t="str">
        <f aca="false">IF(OR(短文入力!B22&gt;70,短文入力!B22=0),"",MID(短文入力!D22,27,1))</f>
        <v>の</v>
      </c>
      <c r="H29" s="9" t="str">
        <f aca="false">IF(OR(短文入力!B22&gt;70,短文入力!B22=0),"",MID(短文入力!D22,20,1))</f>
        <v>い</v>
      </c>
      <c r="I29" s="9" t="str">
        <f aca="false">IF(OR(短文入力!B22&gt;70,短文入力!B22=0),"",MID(短文入力!D22,13,1))</f>
        <v>辺</v>
      </c>
      <c r="J29" s="10" t="str">
        <f aca="false">IF(OR(短文入力!B22&gt;70,短文入力!B22=0),"",MID(短文入力!D22,6,1))</f>
        <v>立</v>
      </c>
    </row>
    <row r="30" customFormat="false" ht="22.5" hidden="false" customHeight="true" outlineLevel="0" collapsed="false">
      <c r="A30" s="8" t="str">
        <f aca="false">IF(OR(短文入力!B22&gt;70,短文入力!B22=0),"",MID(短文入力!D22,70,1))</f>
        <v/>
      </c>
      <c r="B30" s="9" t="str">
        <f aca="false">IF(OR(短文入力!B22&gt;70,短文入力!B22=0),"",MID(短文入力!D22,63,1))</f>
        <v/>
      </c>
      <c r="C30" s="9" t="str">
        <f aca="false">IF(OR(短文入力!B22&gt;70,短文入力!B22=0),"",MID(短文入力!D22,56,1))</f>
        <v>く</v>
      </c>
      <c r="D30" s="9" t="str">
        <f aca="false">IF(OR(短文入力!B22&gt;70,短文入力!B22=0),"",MID(短文入力!D22,49,1))</f>
        <v>然</v>
      </c>
      <c r="E30" s="9" t="str">
        <f aca="false">IF(OR(短文入力!B22&gt;70,短文入力!B22=0),"",MID(短文入力!D22,42,1))</f>
        <v>小</v>
      </c>
      <c r="F30" s="9" t="str">
        <f aca="false">IF(OR(短文入力!B22&gt;70,短文入力!B22=0),"",MID(短文入力!D22,35,1))</f>
        <v>り</v>
      </c>
      <c r="G30" s="9" t="str">
        <f aca="false">IF(OR(短文入力!B22&gt;70,短文入力!B22=0),"",MID(短文入力!D22,28,1))</f>
        <v>お</v>
      </c>
      <c r="H30" s="9" t="str">
        <f aca="false">IF(OR(短文入力!B22&gt;70,短文入力!B22=0),"",MID(短文入力!D22,21,1))</f>
        <v>ま</v>
      </c>
      <c r="I30" s="9" t="str">
        <f aca="false">IF(OR(短文入力!B22&gt;70,短文入力!B22=0),"",MID(短文入力!D22,14,1))</f>
        <v>の</v>
      </c>
      <c r="J30" s="10" t="str">
        <f aca="false">IF(OR(短文入力!B22&gt;70,短文入力!B22=0),"",MID(短文入力!D22,7,1))</f>
        <v>つ</v>
      </c>
    </row>
    <row r="31" customFormat="false" ht="7.5" hidden="false" customHeight="true" outlineLevel="0" collapsed="false">
      <c r="A31" s="26"/>
      <c r="B31" s="13"/>
      <c r="C31" s="13"/>
      <c r="D31" s="13"/>
      <c r="E31" s="13"/>
      <c r="F31" s="13"/>
      <c r="G31" s="13"/>
      <c r="H31" s="13"/>
      <c r="I31" s="13"/>
      <c r="J31" s="14"/>
    </row>
    <row r="32" customFormat="false" ht="12" hidden="false" customHeight="true" outlineLevel="0" collapsed="false">
      <c r="A32" s="15" t="s">
        <v>3</v>
      </c>
      <c r="B32" s="15"/>
      <c r="C32" s="15"/>
      <c r="D32" s="15"/>
      <c r="E32" s="15"/>
      <c r="F32" s="15"/>
      <c r="G32" s="15"/>
      <c r="H32" s="15"/>
      <c r="I32" s="15"/>
      <c r="J32" s="15"/>
    </row>
    <row r="33" customFormat="false" ht="21" hidden="false" customHeight="true" outlineLevel="0" collapsed="false">
      <c r="A33" s="16"/>
      <c r="B33" s="17"/>
      <c r="C33" s="17"/>
      <c r="D33" s="17"/>
      <c r="E33" s="17"/>
      <c r="F33" s="17"/>
      <c r="G33" s="17"/>
      <c r="H33" s="17"/>
      <c r="I33" s="17"/>
      <c r="J33" s="18"/>
    </row>
    <row r="34" customFormat="false" ht="21" hidden="false" customHeight="true" outlineLevel="0" collapsed="false">
      <c r="A34" s="19"/>
      <c r="B34" s="20"/>
      <c r="C34" s="20"/>
      <c r="D34" s="20"/>
      <c r="E34" s="20"/>
      <c r="F34" s="20"/>
      <c r="G34" s="20"/>
      <c r="H34" s="20"/>
      <c r="I34" s="20"/>
      <c r="J34" s="21"/>
    </row>
    <row r="35" customFormat="false" ht="21" hidden="false" customHeight="true" outlineLevel="0" collapsed="false">
      <c r="A35" s="19"/>
      <c r="B35" s="20"/>
      <c r="C35" s="20"/>
      <c r="D35" s="20"/>
      <c r="E35" s="20"/>
      <c r="F35" s="20"/>
      <c r="G35" s="20"/>
      <c r="H35" s="20"/>
      <c r="I35" s="20"/>
      <c r="J35" s="21"/>
    </row>
    <row r="36" customFormat="false" ht="21" hidden="false" customHeight="true" outlineLevel="0" collapsed="false">
      <c r="A36" s="19"/>
      <c r="B36" s="20"/>
      <c r="C36" s="20"/>
      <c r="D36" s="20"/>
      <c r="E36" s="20"/>
      <c r="F36" s="20"/>
      <c r="G36" s="20"/>
      <c r="H36" s="20"/>
      <c r="I36" s="20"/>
      <c r="J36" s="21"/>
    </row>
    <row r="37" customFormat="false" ht="21" hidden="false" customHeight="true" outlineLevel="0" collapsed="false">
      <c r="A37" s="19"/>
      <c r="B37" s="20"/>
      <c r="C37" s="20"/>
      <c r="D37" s="20"/>
      <c r="E37" s="20"/>
      <c r="F37" s="20"/>
      <c r="G37" s="20"/>
      <c r="H37" s="20"/>
      <c r="I37" s="20"/>
      <c r="J37" s="21"/>
    </row>
    <row r="38" customFormat="false" ht="21" hidden="false" customHeight="true" outlineLevel="0" collapsed="false">
      <c r="A38" s="19"/>
      <c r="B38" s="20"/>
      <c r="C38" s="20"/>
      <c r="D38" s="20"/>
      <c r="E38" s="20"/>
      <c r="F38" s="20"/>
      <c r="G38" s="20"/>
      <c r="H38" s="20"/>
      <c r="I38" s="20"/>
      <c r="J38" s="21"/>
    </row>
    <row r="39" customFormat="false" ht="21" hidden="false" customHeight="true" outlineLevel="0" collapsed="false">
      <c r="A39" s="22"/>
      <c r="B39" s="23"/>
      <c r="C39" s="23"/>
      <c r="D39" s="23"/>
      <c r="E39" s="23"/>
      <c r="F39" s="23"/>
      <c r="G39" s="23"/>
      <c r="H39" s="23"/>
      <c r="I39" s="23"/>
      <c r="J39" s="24"/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mergeCells count="10">
    <mergeCell ref="A1:I1"/>
    <mergeCell ref="A2:B2"/>
    <mergeCell ref="C2:G2"/>
    <mergeCell ref="H2:J2"/>
    <mergeCell ref="A12:J12"/>
    <mergeCell ref="A21:I21"/>
    <mergeCell ref="A22:B22"/>
    <mergeCell ref="C22:G22"/>
    <mergeCell ref="H22:J22"/>
    <mergeCell ref="A32:J32"/>
  </mergeCells>
  <printOptions gridLines="0" headings="0" horizontalCentered="1"/>
  <pageMargins left="0.55" right="0.55" top="0.40" bottom="0.40" header="0" footer="0"/>
  <pageSetup paperSize="9" orientation="portrait" scale="100" blackAndWhit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false" zeroHeight="false" outlineLevelRow="0" outlineLevelCol="0"/>
  <cols>
    <col collapsed="false" customWidth="true" hidden="false" outlineLevel="0" max="10" min="1" style="0" width="9"/>
    <col collapsed="false" customWidth="true" hidden="false" outlineLevel="0" max="26" min="11" style="0" width="8.63"/>
  </cols>
  <sheetData>
    <row r="1" customFormat="false" ht="22.5" hidden="false" customHeight="true" outlineLevel="0" collapsed="false">
      <c r="A1" s="27" t="str">
        <f aca="false">IF(長文入力!B10="","",IF(LEN(長文入力!B10)&gt;30,"印刷タイトルを30文字以内にしてください",長文入力!B10))</f>
        <v/>
      </c>
      <c r="B1" s="27"/>
      <c r="C1" s="27"/>
      <c r="D1" s="27"/>
      <c r="E1" s="27"/>
      <c r="F1" s="27"/>
      <c r="G1" s="27"/>
      <c r="H1" s="27"/>
      <c r="I1" s="27"/>
      <c r="J1" s="28" t="s">
        <v>0</v>
      </c>
    </row>
    <row r="2" customFormat="false" ht="20.25" hidden="false" customHeight="true" outlineLevel="0" collapsed="false">
      <c r="A2" s="3" t="s">
        <v>1</v>
      </c>
      <c r="B2" s="3"/>
      <c r="C2" s="3" t="s">
        <v>2</v>
      </c>
      <c r="D2" s="3"/>
      <c r="E2" s="3"/>
      <c r="F2" s="3"/>
      <c r="G2" s="3"/>
      <c r="H2" s="29" t="str">
        <f aca="false">IF(OR(長文入力!B11="",SUBSTITUTE(SUBSTITUTE(長文入力!B11,"　","")," ","")="月日"),"　　　　月　　　　日",長文入力!B11)</f>
        <v>　　　　月　　　　日</v>
      </c>
      <c r="I2" s="29"/>
      <c r="J2" s="29"/>
    </row>
    <row r="3" customFormat="false" ht="7.5" hidden="false" customHeight="true" outlineLevel="0" collapsed="false">
      <c r="A3" s="30"/>
      <c r="B3" s="31"/>
      <c r="C3" s="31"/>
      <c r="D3" s="31"/>
      <c r="E3" s="31"/>
      <c r="F3" s="31"/>
      <c r="G3" s="31"/>
      <c r="H3" s="31"/>
      <c r="I3" s="31"/>
      <c r="J3" s="32"/>
    </row>
    <row r="4" customFormat="false" ht="22.5" hidden="false" customHeight="true" outlineLevel="0" collapsed="false">
      <c r="A4" s="8" t="str">
        <f aca="false">IF(OR(長文入力!B13&gt;140,長文入力!B13=0),"",MID(長文入力!D13,127,1))</f>
        <v/>
      </c>
      <c r="B4" s="9" t="str">
        <f aca="false">IF(OR(長文入力!B13&gt;140,長文入力!B13=0),"",MID(長文入力!D13,113,1))</f>
        <v>移</v>
      </c>
      <c r="C4" s="9" t="str">
        <f aca="false">IF(OR(長文入力!B13&gt;140,長文入力!B13=0),"",MID(長文入力!D13,99,1))</f>
        <v>窓</v>
      </c>
      <c r="D4" s="9" t="str">
        <f aca="false">IF(OR(長文入力!B13&gt;140,長文入力!B13=0),"",MID(長文入力!D13,85,1))</f>
        <v>が</v>
      </c>
      <c r="E4" s="9" t="str">
        <f aca="false">IF(OR(長文入力!B13&gt;140,長文入力!B13=0),"",MID(長文入力!D13,71,1))</f>
        <v>鳥</v>
      </c>
      <c r="F4" s="9" t="str">
        <f aca="false">IF(OR(長文入力!B13&gt;140,長文入力!B13=0),"",MID(長文入力!D13,57,1))</f>
        <v>わ</v>
      </c>
      <c r="G4" s="9" t="str">
        <f aca="false">IF(OR(長文入力!B13&gt;140,長文入力!B13=0),"",MID(長文入力!D13,43,1))</f>
        <v>く</v>
      </c>
      <c r="H4" s="9" t="str">
        <f aca="false">IF(OR(長文入力!B13&gt;140,長文入力!B13=0),"",MID(長文入力!D13,29,1))</f>
        <v>の</v>
      </c>
      <c r="I4" s="9" t="str">
        <f aca="false">IF(OR(長文入力!B13&gt;140,長文入力!B13=0),"",MID(長文入力!D13,15,1))</f>
        <v>さ</v>
      </c>
      <c r="J4" s="10" t="str">
        <f aca="false">IF(OR(長文入力!B13&gt;140,長文入力!B13=0),"",MID(長文入力!D13,1,1))</f>
        <v>雨</v>
      </c>
    </row>
    <row r="5" customFormat="false" ht="22.5" hidden="false" customHeight="true" outlineLevel="0" collapsed="false">
      <c r="A5" s="8" t="str">
        <f aca="false">IF(OR(長文入力!B13&gt;140,長文入力!B13=0),"",MID(長文入力!D13,128,1))</f>
        <v/>
      </c>
      <c r="B5" s="9" t="str">
        <f aca="false">IF(OR(長文入力!B13&gt;140,長文入力!B13=0),"",MID(長文入力!D13,114,1))</f>
        <v>り</v>
      </c>
      <c r="C5" s="9" t="str">
        <f aca="false">IF(OR(長文入力!B13&gt;140,長文入力!B13=0),"",MID(長文入力!D13,100,1))</f>
        <v>か</v>
      </c>
      <c r="D5" s="9" t="str">
        <f aca="false">IF(OR(長文入力!B13&gt;140,長文入力!B13=0),"",MID(長文入力!D13,86,1))</f>
        <v>ぽ</v>
      </c>
      <c r="E5" s="9" t="str">
        <f aca="false">IF(OR(長文入力!B13&gt;140,長文入力!B13=0),"",MID(長文入力!D13,72,1))</f>
        <v>が</v>
      </c>
      <c r="F5" s="9" t="str">
        <f aca="false">IF(OR(長文入力!B13&gt;140,長文入力!B13=0),"",MID(長文入力!D13,58,1))</f>
        <v>鮮</v>
      </c>
      <c r="G5" s="9" t="str">
        <f aca="false">IF(OR(長文入力!B13&gt;140,長文入力!B13=0),"",MID(長文入力!D13,44,1))</f>
        <v>は</v>
      </c>
      <c r="H5" s="9" t="str">
        <f aca="false">IF(OR(長文入力!B13&gt;140,長文入力!B13=0),"",MID(長文入力!D13,30,1))</f>
        <v>切</v>
      </c>
      <c r="I5" s="9" t="str">
        <f aca="false">IF(OR(長文入力!B13&gt;140,長文入力!B13=0),"",MID(長文入力!D13,16,1))</f>
        <v>な</v>
      </c>
      <c r="J5" s="10" t="str">
        <f aca="false">IF(OR(長文入力!B13&gt;140,長文入力!B13=0),"",MID(長文入力!D13,2,1))</f>
        <v>上</v>
      </c>
    </row>
    <row r="6" customFormat="false" ht="22.5" hidden="false" customHeight="true" outlineLevel="0" collapsed="false">
      <c r="A6" s="8" t="str">
        <f aca="false">IF(OR(長文入力!B13&gt;140,長文入力!B13=0),"",MID(長文入力!D13,129,1))</f>
        <v/>
      </c>
      <c r="B6" s="9" t="str">
        <f aca="false">IF(OR(長文入力!B13&gt;140,長文入力!B13=0),"",MID(長文入力!D13,115,1))</f>
        <v>変</v>
      </c>
      <c r="C6" s="9" t="str">
        <f aca="false">IF(OR(長文入力!B13&gt;140,長文入力!B13=0),"",MID(長文入力!D13,101,1))</f>
        <v>ら</v>
      </c>
      <c r="D6" s="9" t="str">
        <f aca="false">IF(OR(長文入力!B13&gt;140,長文入力!B13=0),"",MID(長文入力!D13,87,1))</f>
        <v>つ</v>
      </c>
      <c r="E6" s="9" t="str">
        <f aca="false">IF(OR(長文入力!B13&gt;140,長文入力!B13=0),"",MID(長文入力!D13,73,1))</f>
        <v>鳴</v>
      </c>
      <c r="F6" s="9" t="str">
        <f aca="false">IF(OR(長文入力!B13&gt;140,長文入力!B13=0),"",MID(長文入力!D13,59,1))</f>
        <v>や</v>
      </c>
      <c r="G6" s="9" t="str">
        <f aca="false">IF(OR(長文入力!B13&gt;140,長文入力!B13=0),"",MID(長文入力!D13,45,1))</f>
        <v>光</v>
      </c>
      <c r="H6" s="9" t="str">
        <f aca="false">IF(OR(長文入力!B13&gt;140,長文入力!B13=0),"",MID(長文入力!D13,31,1))</f>
        <v>れ</v>
      </c>
      <c r="I6" s="9" t="str">
        <f aca="false">IF(OR(長文入力!B13&gt;140,長文入力!B13=0),"",MID(長文入力!D13,17,1))</f>
        <v>し</v>
      </c>
      <c r="J6" s="10" t="str">
        <f aca="false">IF(OR(長文入力!B13&gt;140,長文入力!B13=0),"",MID(長文入力!D13,3,1))</f>
        <v>が</v>
      </c>
    </row>
    <row r="7" customFormat="false" ht="22.5" hidden="false" customHeight="true" outlineLevel="0" collapsed="false">
      <c r="A7" s="8" t="str">
        <f aca="false">IF(OR(長文入力!B13&gt;140,長文入力!B13=0),"",MID(長文入力!D13,130,1))</f>
        <v/>
      </c>
      <c r="B7" s="9" t="str">
        <f aca="false">IF(OR(長文入力!B13&gt;140,長文入力!B13=0),"",MID(長文入力!D13,116,1))</f>
        <v>わ</v>
      </c>
      <c r="C7" s="9" t="str">
        <f aca="false">IF(OR(長文入力!B13&gt;140,長文入力!B13=0),"",MID(長文入力!D13,102,1))</f>
        <v>眺</v>
      </c>
      <c r="D7" s="9" t="str">
        <f aca="false">IF(OR(長文入力!B13&gt;140,長文入力!B13=0),"",MID(長文入力!D13,88,1))</f>
        <v>り</v>
      </c>
      <c r="E7" s="9" t="str">
        <f aca="false">IF(OR(長文入力!B13&gt;140,長文入力!B13=0),"",MID(長文入力!D13,74,1))</f>
        <v>き</v>
      </c>
      <c r="F7" s="9" t="str">
        <f aca="false">IF(OR(長文入力!B13&gt;140,長文入力!B13=0),"",MID(長文入力!D13,60,1))</f>
        <v>か</v>
      </c>
      <c r="G7" s="9" t="str">
        <f aca="false">IF(OR(長文入力!B13&gt;140,長文入力!B13=0),"",MID(長文入力!D13,46,1))</f>
        <v>を</v>
      </c>
      <c r="H7" s="9" t="str">
        <f aca="false">IF(OR(長文入力!B13&gt;140,長文入力!B13=0),"",MID(長文入力!D13,32,1))</f>
        <v>間</v>
      </c>
      <c r="I7" s="9" t="str">
        <f aca="false">IF(OR(長文入力!B13&gt;140,長文入力!B13=0),"",MID(長文入力!D13,18,1))</f>
        <v>ず</v>
      </c>
      <c r="J7" s="10" t="str">
        <f aca="false">IF(OR(長文入力!B13&gt;140,長文入力!B13=0),"",MID(長文入力!D13,4,1))</f>
        <v>り</v>
      </c>
    </row>
    <row r="8" customFormat="false" ht="22.5" hidden="false" customHeight="true" outlineLevel="0" collapsed="false">
      <c r="A8" s="8" t="str">
        <f aca="false">IF(OR(長文入力!B13&gt;140,長文入力!B13=0),"",MID(長文入力!D13,131,1))</f>
        <v/>
      </c>
      <c r="B8" s="9" t="str">
        <f aca="false">IF(OR(長文入力!B13&gt;140,長文入力!B13=0),"",MID(長文入力!D13,117,1))</f>
        <v>り</v>
      </c>
      <c r="C8" s="9" t="str">
        <f aca="false">IF(OR(長文入力!B13&gt;140,長文入力!B13=0),"",MID(長文入力!D13,103,1))</f>
        <v>め</v>
      </c>
      <c r="D8" s="9" t="str">
        <f aca="false">IF(OR(長文入力!B13&gt;140,長文入力!B13=0),"",MID(長文入力!D13,89,1))</f>
        <v>と</v>
      </c>
      <c r="E8" s="9" t="str">
        <f aca="false">IF(OR(長文入力!B13&gt;140,長文入力!B13=0),"",MID(長文入力!D13,75,1))</f>
        <v>︑</v>
      </c>
      <c r="F8" s="9" t="str">
        <f aca="false">IF(OR(長文入力!B13&gt;140,長文入力!B13=0),"",MID(長文入力!D13,61,1))</f>
        <v>に</v>
      </c>
      <c r="G8" s="9" t="str">
        <f aca="false">IF(OR(長文入力!B13&gt;140,長文入力!B13=0),"",MID(長文入力!D13,47,1))</f>
        <v>映</v>
      </c>
      <c r="H8" s="9" t="str">
        <f aca="false">IF(OR(長文入力!B13&gt;140,長文入力!B13=0),"",MID(長文入力!D13,33,1))</f>
        <v>か</v>
      </c>
      <c r="I8" s="9" t="str">
        <f aca="false">IF(OR(長文入力!B13&gt;140,長文入力!B13=0),"",MID(長文入力!D13,19,1))</f>
        <v>く</v>
      </c>
      <c r="J8" s="10" t="str">
        <f aca="false">IF(OR(長文入力!B13&gt;140,長文入力!B13=0),"",MID(長文入力!D13,5,1))</f>
        <v>の</v>
      </c>
    </row>
    <row r="9" customFormat="false" ht="22.5" hidden="false" customHeight="true" outlineLevel="0" collapsed="false">
      <c r="A9" s="8" t="str">
        <f aca="false">IF(OR(長文入力!B13&gt;140,長文入力!B13=0),"",MID(長文入力!D13,132,1))</f>
        <v/>
      </c>
      <c r="B9" s="9" t="str">
        <f aca="false">IF(OR(長文入力!B13&gt;140,長文入力!B13=0),"",MID(長文入力!D13,118,1))</f>
        <v>を</v>
      </c>
      <c r="C9" s="9" t="str">
        <f aca="false">IF(OR(長文入力!B13&gt;140,長文入力!B13=0),"",MID(長文入力!D13,104,1))</f>
        <v>る</v>
      </c>
      <c r="D9" s="9" t="str">
        <f aca="false">IF(OR(長文入力!B13&gt;140,長文入力!B13=0),"",MID(長文入力!D13,90,1))</f>
        <v>落</v>
      </c>
      <c r="E9" s="9" t="str">
        <f aca="false">IF(OR(長文入力!B13&gt;140,長文入力!B13=0),"",MID(長文入力!D13,76,1))</f>
        <v>風</v>
      </c>
      <c r="F9" s="9" t="str">
        <f aca="false">IF(OR(長文入力!B13&gt;140,長文入力!B13=0),"",MID(長文入力!D13,62,1))</f>
        <v>見</v>
      </c>
      <c r="G9" s="9" t="str">
        <f aca="false">IF(OR(長文入力!B13&gt;140,長文入力!B13=0),"",MID(長文入力!D13,48,1))</f>
        <v>し</v>
      </c>
      <c r="H9" s="9" t="str">
        <f aca="false">IF(OR(長文入力!B13&gt;140,長文入力!B13=0),"",MID(長文入力!D13,34,1))</f>
        <v>ら</v>
      </c>
      <c r="I9" s="9" t="str">
        <f aca="false">IF(OR(長文入力!B13&gt;140,長文入力!B13=0),"",MID(長文入力!D13,20,1))</f>
        <v>が</v>
      </c>
      <c r="J9" s="10" t="str">
        <f aca="false">IF(OR(長文入力!B13&gt;140,長文入力!B13=0),"",MID(長文入力!D13,6,1))</f>
        <v>庭</v>
      </c>
    </row>
    <row r="10" customFormat="false" ht="22.5" hidden="false" customHeight="true" outlineLevel="0" collapsed="false">
      <c r="A10" s="8" t="str">
        <f aca="false">IF(OR(長文入力!B13&gt;140,長文入力!B13=0),"",MID(長文入力!D13,133,1))</f>
        <v/>
      </c>
      <c r="B10" s="9" t="str">
        <f aca="false">IF(OR(長文入力!B13&gt;140,長文入力!B13=0),"",MID(長文入力!D13,119,1))</f>
        <v>感</v>
      </c>
      <c r="C10" s="9" t="str">
        <f aca="false">IF(OR(長文入力!B13&gt;140,長文入力!B13=0),"",MID(長文入力!D13,105,1))</f>
        <v>景</v>
      </c>
      <c r="D10" s="9" t="str">
        <f aca="false">IF(OR(長文入力!B13&gt;140,長文入力!B13=0),"",MID(長文入力!D13,91,1))</f>
        <v>ち</v>
      </c>
      <c r="E10" s="9" t="str">
        <f aca="false">IF(OR(長文入力!B13&gt;140,長文入力!B13=0),"",MID(長文入力!D13,77,1))</f>
        <v>に</v>
      </c>
      <c r="F10" s="9" t="str">
        <f aca="false">IF(OR(長文入力!B13&gt;140,長文入力!B13=0),"",MID(長文入力!D13,63,1))</f>
        <v>え</v>
      </c>
      <c r="G10" s="9" t="str">
        <f aca="false">IF(OR(長文入力!B13&gt;140,長文入力!B13=0),"",MID(長文入力!D13,49,1))</f>
        <v>︑</v>
      </c>
      <c r="H10" s="9" t="str">
        <f aca="false">IF(OR(長文入力!B13&gt;140,長文入力!B13=0),"",MID(長文入力!D13,35,1))</f>
        <v>日</v>
      </c>
      <c r="I10" s="9" t="str">
        <f aca="false">IF(OR(長文入力!B13&gt;140,長文入力!B13=0),"",MID(長文入力!D13,21,1))</f>
        <v>残</v>
      </c>
      <c r="J10" s="10" t="str">
        <f aca="false">IF(OR(長文入力!B13&gt;140,長文入力!B13=0),"",MID(長文入力!D13,7,1))</f>
        <v>で</v>
      </c>
    </row>
    <row r="11" customFormat="false" ht="22.5" hidden="false" customHeight="true" outlineLevel="0" collapsed="false">
      <c r="A11" s="8" t="str">
        <f aca="false">IF(OR(長文入力!B13&gt;140,長文入力!B13=0),"",MID(長文入力!D13,134,1))</f>
        <v/>
      </c>
      <c r="B11" s="9" t="str">
        <f aca="false">IF(OR(長文入力!B13&gt;140,長文入力!B13=0),"",MID(長文入力!D13,120,1))</f>
        <v>じ</v>
      </c>
      <c r="C11" s="9" t="str">
        <f aca="false">IF(OR(長文入力!B13&gt;140,長文入力!B13=0),"",MID(長文入力!D13,106,1))</f>
        <v>色</v>
      </c>
      <c r="D11" s="9" t="str">
        <f aca="false">IF(OR(長文入力!B13&gt;140,長文入力!B13=0),"",MID(長文入力!D13,92,1))</f>
        <v>ま</v>
      </c>
      <c r="E11" s="9" t="str">
        <f aca="false">IF(OR(長文入力!B13&gt;140,長文入力!B13=0),"",MID(長文入力!D13,78,1))</f>
        <v>揺</v>
      </c>
      <c r="F11" s="9" t="str">
        <f aca="false">IF(OR(長文入力!B13&gt;140,長文入力!B13=0),"",MID(長文入力!D13,64,1))</f>
        <v>ま</v>
      </c>
      <c r="G11" s="9" t="str">
        <f aca="false">IF(OR(長文入力!B13&gt;140,長文入力!B13=0),"",MID(長文入力!D13,50,1))</f>
        <v>葉</v>
      </c>
      <c r="H11" s="9" t="str">
        <f aca="false">IF(OR(長文入力!B13&gt;140,長文入力!B13=0),"",MID(長文入力!D13,36,1))</f>
        <v>が</v>
      </c>
      <c r="I11" s="9" t="str">
        <f aca="false">IF(OR(長文入力!B13&gt;140,長文入力!B13=0),"",MID(長文入力!D13,22,1))</f>
        <v>っ</v>
      </c>
      <c r="J11" s="10" t="str">
        <f aca="false">IF(OR(長文入力!B13&gt;140,長文入力!B13=0),"",MID(長文入力!D13,8,1))</f>
        <v>は</v>
      </c>
    </row>
    <row r="12" customFormat="false" ht="22.5" hidden="false" customHeight="true" outlineLevel="0" collapsed="false">
      <c r="A12" s="8" t="str">
        <f aca="false">IF(OR(長文入力!B13&gt;140,長文入力!B13=0),"",MID(長文入力!D13,135,1))</f>
        <v/>
      </c>
      <c r="B12" s="9" t="str">
        <f aca="false">IF(OR(長文入力!B13&gt;140,長文入力!B13=0),"",MID(長文入力!D13,121,1))</f>
        <v>ら</v>
      </c>
      <c r="C12" s="9" t="str">
        <f aca="false">IF(OR(長文入力!B13&gt;140,長文入力!B13=0),"",MID(長文入力!D13,107,1))</f>
        <v>に</v>
      </c>
      <c r="D12" s="9" t="str">
        <f aca="false">IF(OR(長文入力!B13&gt;140,長文入力!B13=0),"",MID(長文入力!D13,93,1))</f>
        <v>す</v>
      </c>
      <c r="E12" s="9" t="str">
        <f aca="false">IF(OR(長文入力!B13&gt;140,長文入力!B13=0),"",MID(長文入力!D13,79,1))</f>
        <v>れ</v>
      </c>
      <c r="F12" s="9" t="str">
        <f aca="false">IF(OR(長文入力!B13&gt;140,長文入力!B13=0),"",MID(長文入力!D13,65,1))</f>
        <v>し</v>
      </c>
      <c r="G12" s="9" t="str">
        <f aca="false">IF(OR(長文入力!B13&gt;140,長文入力!B13=0),"",MID(長文入力!D13,51,1))</f>
        <v>の</v>
      </c>
      <c r="H12" s="9" t="str">
        <f aca="false">IF(OR(長文入力!B13&gt;140,長文入力!B13=0),"",MID(長文入力!D13,37,1))</f>
        <v>差</v>
      </c>
      <c r="I12" s="9" t="str">
        <f aca="false">IF(OR(長文入力!B13&gt;140,長文入力!B13=0),"",MID(長文入力!D13,23,1))</f>
        <v>て</v>
      </c>
      <c r="J12" s="10" t="str">
        <f aca="false">IF(OR(長文入力!B13&gt;140,長文入力!B13=0),"",MID(長文入力!D13,9,1))</f>
        <v>︑</v>
      </c>
    </row>
    <row r="13" customFormat="false" ht="22.5" hidden="false" customHeight="true" outlineLevel="0" collapsed="false">
      <c r="A13" s="8" t="str">
        <f aca="false">IF(OR(長文入力!B13&gt;140,長文入力!B13=0),"",MID(長文入力!D13,136,1))</f>
        <v/>
      </c>
      <c r="B13" s="9" t="str">
        <f aca="false">IF(OR(長文入力!B13&gt;140,長文入力!B13=0),"",MID(長文入力!D13,122,1))</f>
        <v>れ</v>
      </c>
      <c r="C13" s="9" t="str">
        <f aca="false">IF(OR(長文入力!B13&gt;140,長文入力!B13=0),"",MID(長文入力!D13,108,1))</f>
        <v>も</v>
      </c>
      <c r="D13" s="9" t="str">
        <f aca="false">IF(OR(長文入力!B13&gt;140,長文入力!B13=0),"",MID(長文入力!D13,94,1))</f>
        <v>︒</v>
      </c>
      <c r="E13" s="9" t="str">
        <f aca="false">IF(OR(長文入力!B13&gt;140,長文入力!B13=0),"",MID(長文入力!D13,80,1))</f>
        <v>た</v>
      </c>
      <c r="F13" s="9" t="str">
        <f aca="false">IF(OR(長文入力!B13&gt;140,長文入力!B13=0),"",MID(長文入力!D13,66,1))</f>
        <v>た</v>
      </c>
      <c r="G13" s="9" t="str">
        <f aca="false">IF(OR(長文入力!B13&gt;140,長文入力!B13=0),"",MID(長文入力!D13,52,1))</f>
        <v>色</v>
      </c>
      <c r="H13" s="9" t="str">
        <f aca="false">IF(OR(長文入力!B13&gt;140,長文入力!B13=0),"",MID(長文入力!D13,38,1))</f>
        <v>す</v>
      </c>
      <c r="I13" s="9" t="str">
        <f aca="false">IF(OR(長文入力!B13&gt;140,長文入力!B13=0),"",MID(長文入力!D13,24,1))</f>
        <v>い</v>
      </c>
      <c r="J13" s="10" t="str">
        <f aca="false">IF(OR(長文入力!B13&gt;140,長文入力!B13=0),"",MID(長文入力!D13,10,1))</f>
        <v>草</v>
      </c>
    </row>
    <row r="14" customFormat="false" ht="22.5" hidden="false" customHeight="true" outlineLevel="0" collapsed="false">
      <c r="A14" s="8" t="str">
        <f aca="false">IF(OR(長文入力!B13&gt;140,長文入力!B13=0),"",MID(長文入力!D13,137,1))</f>
        <v/>
      </c>
      <c r="B14" s="9" t="str">
        <f aca="false">IF(OR(長文入力!B13&gt;140,長文入力!B13=0),"",MID(長文入力!D13,123,1))</f>
        <v>ま</v>
      </c>
      <c r="C14" s="9" t="str">
        <f aca="false">IF(OR(長文入力!B13&gt;140,長文入力!B13=0),"",MID(長文入力!D13,109,1))</f>
        <v>︑</v>
      </c>
      <c r="D14" s="9" t="str">
        <f aca="false">IF(OR(長文入力!B13&gt;140,長文入力!B13=0),"",MID(長文入力!D13,95,1))</f>
        <v>い</v>
      </c>
      <c r="E14" s="9" t="str">
        <f aca="false">IF(OR(長文入力!B13&gt;140,長文入力!B13=0),"",MID(長文入力!D13,81,1))</f>
        <v>枝</v>
      </c>
      <c r="F14" s="9" t="str">
        <f aca="false">IF(OR(長文入力!B13&gt;140,長文入力!B13=0),"",MID(長文入力!D13,67,1))</f>
        <v>︒</v>
      </c>
      <c r="G14" s="9" t="str">
        <f aca="false">IF(OR(長文入力!B13&gt;140,長文入力!B13=0),"",MID(長文入力!D13,53,1))</f>
        <v>も</v>
      </c>
      <c r="H14" s="9" t="str">
        <f aca="false">IF(OR(長文入力!B13&gt;140,長文入力!B13=0),"",MID(長文入力!D13,39,1))</f>
        <v>と</v>
      </c>
      <c r="I14" s="9" t="str">
        <f aca="false">IF(OR(長文入力!B13&gt;140,長文入力!B13=0),"",MID(長文入力!D13,25,1))</f>
        <v>ま</v>
      </c>
      <c r="J14" s="10" t="str">
        <f aca="false">IF(OR(長文入力!B13&gt;140,長文入力!B13=0),"",MID(長文入力!D13,11,1))</f>
        <v>の</v>
      </c>
    </row>
    <row r="15" customFormat="false" ht="22.5" hidden="false" customHeight="true" outlineLevel="0" collapsed="false">
      <c r="A15" s="8" t="str">
        <f aca="false">IF(OR(長文入力!B13&gt;140,長文入力!B13=0),"",MID(長文入力!D13,138,1))</f>
        <v/>
      </c>
      <c r="B15" s="9" t="str">
        <f aca="false">IF(OR(長文入力!B13&gt;140,長文入力!B13=0),"",MID(長文入力!D13,124,1))</f>
        <v>す</v>
      </c>
      <c r="C15" s="9" t="str">
        <f aca="false">IF(OR(長文入力!B13&gt;140,長文入力!B13=0),"",MID(長文入力!D13,110,1))</f>
        <v>季</v>
      </c>
      <c r="D15" s="9" t="str">
        <f aca="false">IF(OR(長文入力!B13&gt;140,長文入力!B13=0),"",MID(長文入力!D13,96,1))</f>
        <v>つ</v>
      </c>
      <c r="E15" s="9" t="str">
        <f aca="false">IF(OR(長文入力!B13&gt;140,長文入力!B13=0),"",MID(長文入力!D13,82,1))</f>
        <v>か</v>
      </c>
      <c r="F15" s="9" t="str">
        <f aca="false">IF(OR(長文入力!B13&gt;140,長文入力!B13=0),"",MID(長文入力!D13,68,1))</f>
        <v>遠</v>
      </c>
      <c r="G15" s="9" t="str">
        <f aca="false">IF(OR(長文入力!B13&gt;140,長文入力!B13=0),"",MID(長文入力!D13,54,1))</f>
        <v>ひ</v>
      </c>
      <c r="H15" s="9" t="str">
        <f aca="false">IF(OR(長文入力!B13&gt;140,長文入力!B13=0),"",MID(長文入力!D13,40,1))</f>
        <v>︑</v>
      </c>
      <c r="I15" s="9" t="str">
        <f aca="false">IF(OR(長文入力!B13&gt;140,長文入力!B13=0),"",MID(長文入力!D13,26,1))</f>
        <v>す</v>
      </c>
      <c r="J15" s="10" t="str">
        <f aca="false">IF(OR(長文入力!B13&gt;140,長文入力!B13=0),"",MID(長文入力!D13,12,1))</f>
        <v>先</v>
      </c>
    </row>
    <row r="16" customFormat="false" ht="22.5" hidden="false" customHeight="true" outlineLevel="0" collapsed="false">
      <c r="A16" s="8" t="str">
        <f aca="false">IF(OR(長文入力!B13&gt;140,長文入力!B13=0),"",MID(長文入力!D13,139,1))</f>
        <v/>
      </c>
      <c r="B16" s="9" t="str">
        <f aca="false">IF(OR(長文入力!B13&gt;140,長文入力!B13=0),"",MID(長文入力!D13,125,1))</f>
        <v>︒</v>
      </c>
      <c r="C16" s="9" t="str">
        <f aca="false">IF(OR(長文入力!B13&gt;140,長文入力!B13=0),"",MID(長文入力!D13,111,1))</f>
        <v>節</v>
      </c>
      <c r="D16" s="9" t="str">
        <f aca="false">IF(OR(長文入力!B13&gt;140,長文入力!B13=0),"",MID(長文入力!D13,97,1))</f>
        <v>も</v>
      </c>
      <c r="E16" s="9" t="str">
        <f aca="false">IF(OR(長文入力!B13&gt;140,長文入力!B13=0),"",MID(長文入力!D13,83,1))</f>
        <v>ら</v>
      </c>
      <c r="F16" s="9" t="str">
        <f aca="false">IF(OR(長文入力!B13&gt;140,長文入力!B13=0),"",MID(長文入力!D13,69,1))</f>
        <v>く</v>
      </c>
      <c r="G16" s="9" t="str">
        <f aca="false">IF(OR(長文入力!B13&gt;140,長文入力!B13=0),"",MID(長文入力!D13,55,1))</f>
        <v>と</v>
      </c>
      <c r="H16" s="9" t="str">
        <f aca="false">IF(OR(長文入力!B13&gt;140,長文入力!B13=0),"",MID(長文入力!D13,41,1))</f>
        <v>し</v>
      </c>
      <c r="I16" s="9" t="str">
        <f aca="false">IF(OR(長文入力!B13&gt;140,長文入力!B13=0),"",MID(長文入力!D13,27,1))</f>
        <v>︒</v>
      </c>
      <c r="J16" s="10" t="str">
        <f aca="false">IF(OR(長文入力!B13&gt;140,長文入力!B13=0),"",MID(長文入力!D13,13,1))</f>
        <v>に</v>
      </c>
    </row>
    <row r="17" customFormat="false" ht="22.5" hidden="false" customHeight="true" outlineLevel="0" collapsed="false">
      <c r="A17" s="8" t="str">
        <f aca="false">IF(OR(長文入力!B13&gt;140,長文入力!B13=0),"",MID(長文入力!D13,140,1))</f>
        <v/>
      </c>
      <c r="B17" s="9" t="str">
        <f aca="false">IF(OR(長文入力!B13&gt;140,長文入力!B13=0),"",MID(長文入力!D13,126,1))</f>
        <v/>
      </c>
      <c r="C17" s="9" t="str">
        <f aca="false">IF(OR(長文入力!B13&gt;140,長文入力!B13=0),"",MID(長文入力!D13,112,1))</f>
        <v>の</v>
      </c>
      <c r="D17" s="9" t="str">
        <f aca="false">IF(OR(長文入力!B13&gt;140,長文入力!B13=0),"",MID(長文入力!D13,98,1))</f>
        <v>の</v>
      </c>
      <c r="E17" s="9" t="str">
        <f aca="false">IF(OR(長文入力!B13&gt;140,長文入力!B13=0),"",MID(長文入力!D13,84,1))</f>
        <v>水</v>
      </c>
      <c r="F17" s="9" t="str">
        <f aca="false">IF(OR(長文入力!B13&gt;140,長文入力!B13=0),"",MID(長文入力!D13,70,1))</f>
        <v>で</v>
      </c>
      <c r="G17" s="9" t="str">
        <f aca="false">IF(OR(長文入力!B13&gt;140,長文入力!B13=0),"",MID(長文入力!D13,56,1))</f>
        <v>き</v>
      </c>
      <c r="H17" s="9" t="str">
        <f aca="false">IF(OR(長文入力!B13&gt;140,長文入力!B13=0),"",MID(長文入力!D13,42,1))</f>
        <v>ず</v>
      </c>
      <c r="I17" s="9" t="str">
        <f aca="false">IF(OR(長文入力!B13&gt;140,長文入力!B13=0),"",MID(長文入力!D13,28,1))</f>
        <v>雲</v>
      </c>
      <c r="J17" s="10" t="str">
        <f aca="false">IF(OR(長文入力!B13&gt;140,長文入力!B13=0),"",MID(長文入力!D13,14,1))</f>
        <v>小</v>
      </c>
    </row>
    <row r="18" customFormat="false" ht="7.5" hidden="false" customHeight="true" outlineLevel="0" collapsed="false">
      <c r="A18" s="33"/>
      <c r="B18" s="34"/>
      <c r="C18" s="34"/>
      <c r="D18" s="34"/>
      <c r="E18" s="34"/>
      <c r="F18" s="34"/>
      <c r="G18" s="34"/>
      <c r="H18" s="34"/>
      <c r="I18" s="34"/>
      <c r="J18" s="35"/>
    </row>
    <row r="19" customFormat="false" ht="12" hidden="false" customHeight="true" outlineLevel="0" collapsed="false">
      <c r="A19" s="2" t="s">
        <v>3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21" hidden="false" customHeight="true" outlineLevel="0" collapsed="false">
      <c r="A20" s="30"/>
      <c r="B20" s="31"/>
      <c r="C20" s="31"/>
      <c r="D20" s="31"/>
      <c r="E20" s="31"/>
      <c r="F20" s="31"/>
      <c r="G20" s="31"/>
      <c r="H20" s="31"/>
      <c r="I20" s="31"/>
      <c r="J20" s="32"/>
    </row>
    <row r="21" customFormat="false" ht="21" hidden="false" customHeight="true" outlineLevel="0" collapsed="false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customFormat="false" ht="21" hidden="false" customHeight="true" outlineLevel="0" collapsed="false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customFormat="false" ht="21" hidden="false" customHeight="true" outlineLevel="0" collapsed="false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customFormat="false" ht="21" hidden="false" customHeight="true" outlineLevel="0" collapsed="false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customFormat="false" ht="21" hidden="false" customHeight="true" outlineLevel="0" collapsed="false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customFormat="false" ht="21" hidden="false" customHeight="true" outlineLevel="0" collapsed="false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customFormat="false" ht="21" hidden="false" customHeight="true" outlineLevel="0" collapsed="false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customFormat="false" ht="21" hidden="false" customHeight="true" outlineLevel="0" collapsed="false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customFormat="false" ht="21" hidden="false" customHeight="true" outlineLevel="0" collapsed="false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customFormat="false" ht="21" hidden="false" customHeight="true" outlineLevel="0" collapsed="false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customFormat="false" ht="21" hidden="false" customHeight="true" outlineLevel="0" collapsed="false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customFormat="false" ht="21" hidden="false" customHeight="true" outlineLevel="0" collapsed="false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customFormat="false" ht="21" hidden="false" customHeight="true" outlineLevel="0" collapsed="false">
      <c r="A33" s="33"/>
      <c r="B33" s="34"/>
      <c r="C33" s="34"/>
      <c r="D33" s="34"/>
      <c r="E33" s="34"/>
      <c r="F33" s="34"/>
      <c r="G33" s="34"/>
      <c r="H33" s="34"/>
      <c r="I33" s="34"/>
      <c r="J33" s="35"/>
    </row>
    <row r="34" customFormat="false" ht="21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</row>
    <row r="35" customFormat="false" ht="21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I1"/>
    <mergeCell ref="A2:B2"/>
    <mergeCell ref="C2:G2"/>
    <mergeCell ref="H2:J2"/>
    <mergeCell ref="A19:J19"/>
  </mergeCells>
  <printOptions gridLines="0" headings="0" horizontalCentered="1"/>
  <pageMargins left="0.55" right="0.55" top="0.40" bottom="0.40" header="0" footer="0"/>
  <pageSetup paperSize="9" orientation="portrait" scale="100" blackAndWhit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8"/>
    <col collapsed="false" customWidth="true" hidden="false" outlineLevel="0" max="3" min="3" style="0" width="4"/>
    <col collapsed="false" customWidth="true" hidden="true" outlineLevel="0" max="4" min="4" style="0" width="70"/>
    <col collapsed="false" customWidth="true" hidden="false" outlineLevel="0" max="26" min="5" style="0" width="8.63"/>
  </cols>
  <sheetData>
    <row r="1" customFormat="false" ht="27" hidden="false" customHeight="true" outlineLevel="0" collapsed="false">
      <c r="A1" s="37" t="s">
        <v>4</v>
      </c>
      <c r="B1" s="37"/>
      <c r="C1" s="38"/>
      <c r="D1" s="38"/>
    </row>
    <row r="2" customFormat="false" ht="54" hidden="false" customHeight="true" outlineLevel="0" collapsed="false">
      <c r="A2" s="38"/>
      <c r="B2" s="39" t="s">
        <v>5</v>
      </c>
      <c r="C2" s="38"/>
      <c r="D2" s="38"/>
    </row>
    <row r="3" customFormat="false" ht="27" hidden="false" customHeight="true" outlineLevel="0" collapsed="false">
      <c r="A3" s="39" t="s">
        <v>6</v>
      </c>
      <c r="B3" s="40" t="n">
        <v>7</v>
      </c>
      <c r="C3" s="38"/>
      <c r="D3" s="38"/>
    </row>
    <row r="4" customFormat="false" ht="27" hidden="false" customHeight="true" outlineLevel="0" collapsed="false">
      <c r="A4" s="39" t="s">
        <v>7</v>
      </c>
      <c r="B4" s="40" t="n">
        <f aca="false">10</f>
        <v>10</v>
      </c>
      <c r="C4" s="38"/>
      <c r="D4" s="38"/>
    </row>
    <row r="5" customFormat="false" ht="27" hidden="false" customHeight="true" outlineLevel="0" collapsed="false">
      <c r="A5" s="38" t="s">
        <v>8</v>
      </c>
      <c r="B5" s="41" t="n">
        <f aca="false">B3*B4</f>
        <v>70</v>
      </c>
      <c r="C5" s="38"/>
      <c r="D5" s="38"/>
    </row>
    <row r="6" customFormat="false" ht="27" hidden="false" customHeight="true" outlineLevel="0" collapsed="false">
      <c r="A6" s="39" t="s">
        <v>9</v>
      </c>
      <c r="B6" s="42" t="s">
        <v>10</v>
      </c>
      <c r="C6" s="38"/>
      <c r="D6" s="38"/>
    </row>
    <row r="7" customFormat="false" ht="27" hidden="false" customHeight="true" outlineLevel="0" collapsed="false">
      <c r="A7" s="43" t="s">
        <v>11</v>
      </c>
      <c r="B7" s="43"/>
      <c r="C7" s="38"/>
      <c r="D7" s="38"/>
    </row>
    <row r="8" customFormat="false" ht="45" hidden="false" customHeight="true" outlineLevel="0" collapsed="false">
      <c r="A8" s="38" t="s">
        <v>12</v>
      </c>
      <c r="B8" s="44" t="s">
        <v>13</v>
      </c>
      <c r="C8" s="38"/>
      <c r="D8" s="38"/>
    </row>
    <row r="9" customFormat="false" ht="180" hidden="false" customHeight="true" outlineLevel="0" collapsed="false">
      <c r="A9" s="39" t="s">
        <v>14</v>
      </c>
      <c r="B9" s="45" t="str">
        <f aca="false">"高齢者向けの書き写しレクリエーション用に、テーマ「"&amp;B8&amp;"」で日本語の文章を1つ作ってください。縦"&amp;$B$3&amp;"字×"&amp;$B$4&amp;"列の枠に使います。60～"&amp;$B$5&amp;"字を目安に、"&amp;$B$5&amp;"字以内で。句読点・空白も各1字に数え、出力前に確認してください。具体的な情景、小さな発見、正確な豆知識などから1つを選んで掘り下げ、読後に気持ちが動いたり、会話が生まれたりする内容にしてください。平易で自然な2～3文とし、大人への敬意を保ってください。一般論の羅列、言葉の水増し、説教や命令口調を避け、知識を扱う場合は確かな事実だけを使ってください。題名・説明・文字数表示・ふりがな・絵文字・個人情報は付けず、本文だけを改行なしで返してください。"</f>
        <v>高齢者向けの書き写しレクリエーション用に、テーマ「落ち葉と木漏れ日」で日本語の文章を1つ作ってください。縦7字×10列の枠に使います。60～70字を目安に、70字以内で。句読点・空白も各1字に数え、出力前に確認してください。具体的な情景、小さな発見、正確な豆知識などから1つを選んで掘り下げ、読後に気持ちが動いたり、会話が生まれたりする内容にしてください。平易で自然な2～3文とし、大人への敬意を保ってください。一般論の羅列、言葉の水増し、説教や命令口調を避け、知識を扱う場合は確かな事実だけを使ってください。題名・説明・文字数表示・ふりがな・絵文字・個人情報は付けず、本文だけを改行なしで返してください。</v>
      </c>
      <c r="C9" s="38"/>
      <c r="D9" s="38"/>
    </row>
    <row r="10" customFormat="false" ht="45" hidden="false" customHeight="true" outlineLevel="0" collapsed="false">
      <c r="A10" s="39" t="s">
        <v>15</v>
      </c>
      <c r="B10" s="44"/>
      <c r="C10" s="38"/>
      <c r="D10" s="39" t="s">
        <v>16</v>
      </c>
    </row>
    <row r="11" customFormat="false" ht="27" hidden="false" customHeight="true" outlineLevel="0" collapsed="false">
      <c r="A11" s="39" t="s">
        <v>17</v>
      </c>
      <c r="B11" s="44" t="s">
        <v>18</v>
      </c>
      <c r="C11" s="38"/>
      <c r="D11" s="38"/>
    </row>
    <row r="12" customFormat="false" ht="75.75" hidden="false" customHeight="true" outlineLevel="0" collapsed="false">
      <c r="A12" s="39" t="s">
        <v>19</v>
      </c>
      <c r="B12" s="44" t="s">
        <v>20</v>
      </c>
      <c r="C12" s="38"/>
      <c r="D12" s="38" t="str">
        <f aca="false">SUBSTITUTE(SUBSTITUTE(SUBSTITUTE(B12,CHAR(13),""),CHAR(10),""),CHAR(9),"")</f>
        <v>秋の小道の上に、赤や黄色の葉が重なっています。風が通るたびに一枚の葉がくるりと舞い、木漏れ日の中へ静かに降りていきました。</v>
      </c>
    </row>
    <row r="13" customFormat="false" ht="27" hidden="false" customHeight="true" outlineLevel="0" collapsed="false">
      <c r="A13" s="39" t="s">
        <v>21</v>
      </c>
      <c r="B13" s="46" t="n">
        <f aca="false">LEN(D12)</f>
        <v>61</v>
      </c>
      <c r="C13" s="38"/>
      <c r="D13" s="38" t="str">
        <f aca="false">SUBSTITUTE(SUBSTITUTE(SUBSTITUTE(SUBSTITUTE(SUBSTITUTE(SUBSTITUTE(SUBSTITUTE(SUBSTITUTE(SUBSTITUTE(D12,"、","︑"),"。","︒"),"「","﹁"),"」","﹂"),"『","﹃"),"』","﹄"),"（","︵"),"）","︶"),"ー","︱")</f>
        <v>秋の小道の上に︑赤や黄色の葉が重なっています︒風が通るたびに一枚の葉がくるりと舞い︑木漏れ日の中へ静かに降りていきました︒</v>
      </c>
    </row>
    <row r="14" customFormat="false" ht="45" hidden="false" customHeight="true" outlineLevel="0" collapsed="false">
      <c r="A14" s="39" t="s">
        <v>22</v>
      </c>
      <c r="B14" s="39" t="str">
        <f aca="false">IF(B13&gt;$B$5,"文字数超過："&amp;(B13-$B$5)&amp;"文字減らしてください。見本は表示しません。",IF(B13=0,"本文を貼り付けてください。","印刷できます（"&amp;B13&amp;" / "&amp;$B$5&amp;"文字）"))&amp;IF(LEN(B10)&gt;30,CHAR(10)&amp;"印刷タイトルを30文字以内にしてください。","")</f>
        <v>印刷できます（61 / 70文字）</v>
      </c>
      <c r="C14" s="38"/>
      <c r="D14" s="38"/>
    </row>
    <row r="15" customFormat="false" ht="27" hidden="false" customHeight="true" outlineLevel="0" collapsed="false">
      <c r="A15" s="38"/>
      <c r="B15" s="38"/>
      <c r="C15" s="38"/>
      <c r="D15" s="38"/>
    </row>
    <row r="16" customFormat="false" ht="27" hidden="false" customHeight="true" outlineLevel="0" collapsed="false">
      <c r="A16" s="43" t="s">
        <v>23</v>
      </c>
      <c r="B16" s="43"/>
      <c r="C16" s="38"/>
      <c r="D16" s="38"/>
    </row>
    <row r="17" customFormat="false" ht="45" hidden="false" customHeight="true" outlineLevel="0" collapsed="false">
      <c r="A17" s="38" t="s">
        <v>12</v>
      </c>
      <c r="B17" s="44" t="s">
        <v>24</v>
      </c>
      <c r="C17" s="38"/>
      <c r="D17" s="38"/>
    </row>
    <row r="18" customFormat="false" ht="180" hidden="false" customHeight="true" outlineLevel="0" collapsed="false">
      <c r="A18" s="39" t="s">
        <v>14</v>
      </c>
      <c r="B18" s="45" t="str">
        <f aca="false">"高齢者向けの書き写しレクリエーション用に、テーマ「"&amp;B17&amp;"」で日本語の文章を1つ作ってください。縦"&amp;$B$3&amp;"字×"&amp;$B$4&amp;"列の枠に使います。60～"&amp;$B$5&amp;"字を目安に、"&amp;$B$5&amp;"字以内で。句読点・空白も各1字に数え、出力前に確認してください。具体的な情景、小さな発見、正確な豆知識などから1つを選んで掘り下げ、読後に気持ちが動いたり、会話が生まれたりする内容にしてください。平易で自然な2～3文とし、大人への敬意を保ってください。一般論の羅列、言葉の水増し、説教や命令口調を避け、知識を扱う場合は確かな事実だけを使ってください。題名・説明・文字数表示・ふりがな・絵文字・個人情報は付けず、本文だけを改行なしで返してください。"</f>
        <v>高齢者向けの書き写しレクリエーション用に、テーマ「窓辺のお茶と小鳥」で日本語の文章を1つ作ってください。縦7字×10列の枠に使います。60～70字を目安に、70字以内で。句読点・空白も各1字に数え、出力前に確認してください。具体的な情景、小さな発見、正確な豆知識などから1つを選んで掘り下げ、読後に気持ちが動いたり、会話が生まれたりする内容にしてください。平易で自然な2～3文とし、大人への敬意を保ってください。一般論の羅列、言葉の水増し、説教や命令口調を避け、知識を扱う場合は確かな事実だけを使ってください。題名・説明・文字数表示・ふりがな・絵文字・個人情報は付けず、本文だけを改行なしで返してください。</v>
      </c>
      <c r="C18" s="38"/>
      <c r="D18" s="38"/>
    </row>
    <row r="19" customFormat="false" ht="45" hidden="false" customHeight="true" outlineLevel="0" collapsed="false">
      <c r="A19" s="39" t="s">
        <v>15</v>
      </c>
      <c r="B19" s="44"/>
      <c r="C19" s="38"/>
      <c r="D19" s="39" t="s">
        <v>16</v>
      </c>
    </row>
    <row r="20" customFormat="false" ht="27" hidden="false" customHeight="true" outlineLevel="0" collapsed="false">
      <c r="A20" s="39" t="s">
        <v>17</v>
      </c>
      <c r="B20" s="44" t="s">
        <v>18</v>
      </c>
      <c r="C20" s="38"/>
      <c r="D20" s="38"/>
    </row>
    <row r="21" customFormat="false" ht="75.75" hidden="false" customHeight="true" outlineLevel="0" collapsed="false">
      <c r="A21" s="39" t="s">
        <v>19</v>
      </c>
      <c r="B21" s="44" t="s">
        <v>25</v>
      </c>
      <c r="C21" s="38"/>
      <c r="D21" s="38" t="str">
        <f aca="false">SUBSTITUTE(SUBSTITUTE(SUBSTITUTE(B21,CHAR(13),""),CHAR(10),""),CHAR(9),"")</f>
        <v>湯のみから立つ湯気が、窓辺の光に透けています。ひと口のお茶で体が温まり、庭を訪れた小鳥の声に、自然と耳を傾けたくなりました。</v>
      </c>
    </row>
    <row r="22" customFormat="false" ht="27" hidden="false" customHeight="true" outlineLevel="0" collapsed="false">
      <c r="A22" s="39" t="s">
        <v>21</v>
      </c>
      <c r="B22" s="46" t="n">
        <f aca="false">LEN(D21)</f>
        <v>62</v>
      </c>
      <c r="C22" s="38"/>
      <c r="D22" s="38" t="str">
        <f aca="false">SUBSTITUTE(SUBSTITUTE(SUBSTITUTE(SUBSTITUTE(SUBSTITUTE(SUBSTITUTE(SUBSTITUTE(SUBSTITUTE(SUBSTITUTE(D21,"、","︑"),"。","︒"),"「","﹁"),"」","﹂"),"『","﹃"),"』","﹄"),"（","︵"),"）","︶"),"ー","︱")</f>
        <v>湯のみから立つ湯気が︑窓辺の光に透けています︒ひと口のお茶で体が温まり︑庭を訪れた小鳥の声に︑自然と耳を傾けたくなりました︒</v>
      </c>
    </row>
    <row r="23" customFormat="false" ht="45" hidden="false" customHeight="true" outlineLevel="0" collapsed="false">
      <c r="A23" s="39" t="s">
        <v>22</v>
      </c>
      <c r="B23" s="39" t="str">
        <f aca="false">IF(B22&gt;$B$5,"文字数超過："&amp;(B22-$B$5)&amp;"文字減らしてください。見本は表示しません。",IF(B22=0,"本文を貼り付けてください。","印刷できます（"&amp;B22&amp;" / "&amp;$B$5&amp;"文字）"))&amp;IF(LEN(B19)&gt;30,CHAR(10)&amp;"印刷タイトルを30文字以内にしてください。","")</f>
        <v>印刷できます（62 / 70文字）</v>
      </c>
      <c r="C23" s="38"/>
      <c r="D23" s="38"/>
    </row>
    <row r="24" customFormat="false" ht="66.75" hidden="false" customHeight="true" outlineLevel="0" collapsed="false">
      <c r="A24" s="39" t="s">
        <v>26</v>
      </c>
      <c r="B24" s="47" t="s">
        <v>27</v>
      </c>
      <c r="C24" s="38"/>
      <c r="D24" s="38"/>
    </row>
    <row r="25" customFormat="false" ht="66.75" hidden="false" customHeight="true" outlineLevel="0" collapsed="false">
      <c r="A25" s="39" t="s">
        <v>28</v>
      </c>
      <c r="B25" s="39" t="s">
        <v>29</v>
      </c>
      <c r="C25" s="38"/>
      <c r="D25" s="38"/>
    </row>
    <row r="26" customFormat="false" ht="66.75" hidden="false" customHeight="true" outlineLevel="0" collapsed="false">
      <c r="A26" s="39" t="s">
        <v>30</v>
      </c>
      <c r="B26" s="39" t="s">
        <v>31</v>
      </c>
      <c r="C26" s="38"/>
      <c r="D26" s="38"/>
    </row>
    <row r="27" customFormat="false" ht="82" hidden="false" customHeight="true" outlineLevel="0" collapsed="false">
      <c r="A27" s="39" t="s">
        <v>32</v>
      </c>
      <c r="B27" s="39" t="s">
        <v>33</v>
      </c>
      <c r="C27" s="38"/>
      <c r="D27" s="38"/>
    </row>
    <row r="28" customFormat="false" ht="108" hidden="false" customHeight="true" outlineLevel="0" collapsed="false">
      <c r="A28" s="39" t="s">
        <v>34</v>
      </c>
      <c r="B28" s="39" t="s">
        <v>35</v>
      </c>
      <c r="C28" s="38"/>
      <c r="D28" s="38"/>
    </row>
    <row r="29" customFormat="false" ht="66.75" hidden="false" customHeight="true" outlineLevel="0" collapsed="false">
      <c r="A29" s="39" t="s">
        <v>36</v>
      </c>
      <c r="B29" s="39" t="s">
        <v>37</v>
      </c>
      <c r="C29" s="38"/>
      <c r="D29" s="38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3">
    <mergeCell ref="A1:B1"/>
    <mergeCell ref="A7:B7"/>
    <mergeCell ref="A16:B16"/>
  </mergeCells>
  <conditionalFormatting sqref="B14">
    <cfRule type="expression" priority="2" aboveAverage="0" equalAverage="0" bottom="0" percent="0" rank="0" text="" dxfId="0">
      <formula>B13&gt;$B$5</formula>
    </cfRule>
  </conditionalFormatting>
  <conditionalFormatting sqref="B23">
    <cfRule type="expression" priority="3" aboveAverage="0" equalAverage="0" bottom="0" percent="0" rank="0" text="" dxfId="0">
      <formula>B22&gt;$B$5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8"/>
    <col collapsed="false" customWidth="true" hidden="false" outlineLevel="0" max="3" min="3" style="0" width="4"/>
    <col collapsed="false" customWidth="true" hidden="true" outlineLevel="0" max="4" min="4" style="0" width="70"/>
    <col collapsed="false" customWidth="true" hidden="false" outlineLevel="0" max="26" min="5" style="0" width="8.63"/>
  </cols>
  <sheetData>
    <row r="1" customFormat="false" ht="27" hidden="false" customHeight="true" outlineLevel="0" collapsed="false">
      <c r="A1" s="37" t="s">
        <v>38</v>
      </c>
      <c r="B1" s="37"/>
      <c r="C1" s="38"/>
      <c r="D1" s="38"/>
    </row>
    <row r="2" customFormat="false" ht="54" hidden="false" customHeight="true" outlineLevel="0" collapsed="false">
      <c r="A2" s="38"/>
      <c r="B2" s="39" t="s">
        <v>5</v>
      </c>
      <c r="C2" s="38"/>
      <c r="D2" s="38"/>
    </row>
    <row r="3" customFormat="false" ht="27" hidden="false" customHeight="true" outlineLevel="0" collapsed="false">
      <c r="A3" s="39" t="s">
        <v>6</v>
      </c>
      <c r="B3" s="40" t="n">
        <v>14</v>
      </c>
      <c r="C3" s="38"/>
      <c r="D3" s="38"/>
    </row>
    <row r="4" customFormat="false" ht="27" hidden="false" customHeight="true" outlineLevel="0" collapsed="false">
      <c r="A4" s="39" t="s">
        <v>7</v>
      </c>
      <c r="B4" s="40" t="n">
        <f aca="false">10</f>
        <v>10</v>
      </c>
      <c r="C4" s="38"/>
      <c r="D4" s="38"/>
    </row>
    <row r="5" customFormat="false" ht="27" hidden="false" customHeight="true" outlineLevel="0" collapsed="false">
      <c r="A5" s="38" t="s">
        <v>8</v>
      </c>
      <c r="B5" s="41" t="n">
        <f aca="false">B3*B4</f>
        <v>140</v>
      </c>
      <c r="C5" s="38"/>
      <c r="D5" s="38"/>
    </row>
    <row r="6" customFormat="false" ht="27" hidden="false" customHeight="true" outlineLevel="0" collapsed="false">
      <c r="A6" s="39" t="s">
        <v>9</v>
      </c>
      <c r="B6" s="42" t="s">
        <v>39</v>
      </c>
      <c r="C6" s="38"/>
      <c r="D6" s="38"/>
    </row>
    <row r="7" customFormat="false" ht="27" hidden="false" customHeight="true" outlineLevel="0" collapsed="false">
      <c r="A7" s="43" t="s">
        <v>40</v>
      </c>
      <c r="B7" s="43"/>
      <c r="C7" s="38"/>
      <c r="D7" s="38"/>
    </row>
    <row r="8" customFormat="false" ht="45" hidden="false" customHeight="true" outlineLevel="0" collapsed="false">
      <c r="A8" s="38" t="s">
        <v>12</v>
      </c>
      <c r="B8" s="44" t="s">
        <v>41</v>
      </c>
      <c r="C8" s="38"/>
      <c r="D8" s="38"/>
    </row>
    <row r="9" customFormat="false" ht="180" hidden="false" customHeight="true" outlineLevel="0" collapsed="false">
      <c r="A9" s="39" t="s">
        <v>14</v>
      </c>
      <c r="B9" s="45" t="str">
        <f aca="false">"高齢者向けの書き写しレクリエーション用に、テーマ「"&amp;B8&amp;"」で日本語の文章を1つ作ってください。縦"&amp;$B$3&amp;"字×"&amp;$B$4&amp;"列の枠に使います。120～"&amp;$B$5&amp;"字を目安に、"&amp;$B$5&amp;"字以内で。句読点・空白も各1字に数え、出力前に確認してください。具体的な情景、小さな発見、正確な豆知識などから1つを選んで掘り下げ、読後に気持ちが動いたり、会話が生まれたりする内容にしてください。平易で自然な3～4文とし、大人への敬意を保ってください。一般論の羅列、言葉の水増し、説教や命令口調を避け、知識を扱う場合は確かな事実だけを使ってください。題名・説明・文字数表示・ふりがな・絵文字・個人情報は付けず、本文だけを改行なしで返してください。"</f>
        <v>高齢者向けの書き写しレクリエーション用に、テーマ「雨上がりの庭の小さな変化」で日本語の文章を1つ作ってください。縦14字×10列の枠に使います。120～140字を目安に、140字以内で。句読点・空白も各1字に数え、出力前に確認してください。具体的な情景、小さな発見、正確な豆知識などから1つを選んで掘り下げ、読後に気持ちが動いたり、会話が生まれたりする内容にしてください。平易で自然な3～4文とし、大人への敬意を保ってください。一般論の羅列、言葉の水増し、説教や命令口調を避け、知識を扱う場合は確かな事実だけを使ってください。題名・説明・文字数表示・ふりがな・絵文字・個人情報は付けず、本文だけを改行なしで返してください。</v>
      </c>
      <c r="C9" s="38"/>
      <c r="D9" s="38"/>
    </row>
    <row r="10" customFormat="false" ht="45" hidden="false" customHeight="true" outlineLevel="0" collapsed="false">
      <c r="A10" s="39" t="s">
        <v>15</v>
      </c>
      <c r="B10" s="44"/>
      <c r="C10" s="38"/>
      <c r="D10" s="39" t="s">
        <v>16</v>
      </c>
    </row>
    <row r="11" customFormat="false" ht="27" hidden="false" customHeight="true" outlineLevel="0" collapsed="false">
      <c r="A11" s="39" t="s">
        <v>17</v>
      </c>
      <c r="B11" s="44" t="s">
        <v>18</v>
      </c>
      <c r="C11" s="38"/>
      <c r="D11" s="38"/>
    </row>
    <row r="12" customFormat="false" ht="100.5" hidden="false" customHeight="true" outlineLevel="0" collapsed="false">
      <c r="A12" s="39" t="s">
        <v>19</v>
      </c>
      <c r="B12" s="44" t="s">
        <v>42</v>
      </c>
      <c r="C12" s="38"/>
      <c r="D12" s="38" t="str">
        <f aca="false">SUBSTITUTE(SUBSTITUTE(SUBSTITUTE(B12,CHAR(13),""),CHAR(10),""),CHAR(9),"")</f>
        <v>雨上がりの庭では、草の先に小さなしずくが残っています。雲の切れ間から日が差すと、しずくは光を映し、葉の色もひときわ鮮やかに見えました。遠くで鳥が鳴き、風に揺れた枝から水がぽつりと落ちます。いつもの窓から眺める景色にも、季節の移り変わりを感じられます。</v>
      </c>
    </row>
    <row r="13" customFormat="false" ht="27" hidden="false" customHeight="true" outlineLevel="0" collapsed="false">
      <c r="A13" s="39" t="s">
        <v>21</v>
      </c>
      <c r="B13" s="46" t="n">
        <f aca="false">LEN(D12)</f>
        <v>125</v>
      </c>
      <c r="C13" s="38"/>
      <c r="D13" s="38" t="str">
        <f aca="false">SUBSTITUTE(SUBSTITUTE(SUBSTITUTE(SUBSTITUTE(SUBSTITUTE(SUBSTITUTE(SUBSTITUTE(SUBSTITUTE(SUBSTITUTE(D12,"、","︑"),"。","︒"),"「","﹁"),"」","﹂"),"『","﹃"),"』","﹄"),"（","︵"),"）","︶"),"ー","︱")</f>
        <v>雨上がりの庭では︑草の先に小さなしずくが残っています︒雲の切れ間から日が差すと︑しずくは光を映し︑葉の色もひときわ鮮やかに見えました︒遠くで鳥が鳴き︑風に揺れた枝から水がぽつりと落ちます︒いつもの窓から眺める景色にも︑季節の移り変わりを感じられます︒</v>
      </c>
    </row>
    <row r="14" customFormat="false" ht="45" hidden="false" customHeight="true" outlineLevel="0" collapsed="false">
      <c r="A14" s="39" t="s">
        <v>22</v>
      </c>
      <c r="B14" s="39" t="str">
        <f aca="false">IF(B13&gt;$B$5,"文字数超過："&amp;(B13-$B$5)&amp;"文字減らしてください。見本は表示しません。",IF(B13=0,"本文を貼り付けてください。","印刷できます（"&amp;B13&amp;" / "&amp;$B$5&amp;"文字）"))&amp;IF(LEN(B10)&gt;30,CHAR(10)&amp;"印刷タイトルを30文字以内にしてください。","")</f>
        <v>印刷できます（125 / 140文字）</v>
      </c>
      <c r="C14" s="38"/>
      <c r="D14" s="38"/>
    </row>
    <row r="15" customFormat="false" ht="27" hidden="false" customHeight="true" outlineLevel="0" collapsed="false"/>
    <row r="16" customFormat="false" ht="27" hidden="false" customHeight="true" outlineLevel="0" collapsed="false">
      <c r="A16" s="43" t="s">
        <v>43</v>
      </c>
      <c r="B16" s="43"/>
    </row>
    <row r="17" customFormat="false" ht="66.75" hidden="false" customHeight="true" outlineLevel="0" collapsed="false">
      <c r="A17" s="38" t="s">
        <v>44</v>
      </c>
      <c r="B17" s="47" t="s">
        <v>45</v>
      </c>
    </row>
    <row r="18" customFormat="false" ht="66.75" hidden="false" customHeight="true" outlineLevel="0" collapsed="false">
      <c r="A18" s="38" t="s">
        <v>46</v>
      </c>
      <c r="B18" s="47" t="s">
        <v>47</v>
      </c>
    </row>
    <row r="19" customFormat="false" ht="66.75" hidden="false" customHeight="true" outlineLevel="0" collapsed="false">
      <c r="A19" s="38" t="s">
        <v>48</v>
      </c>
      <c r="B19" s="47" t="s">
        <v>49</v>
      </c>
    </row>
    <row r="20" customFormat="false" ht="66.75" hidden="false" customHeight="true" outlineLevel="0" collapsed="false">
      <c r="A20" s="38" t="s">
        <v>50</v>
      </c>
      <c r="B20" s="47" t="s">
        <v>51</v>
      </c>
    </row>
    <row r="21" customFormat="false" ht="66.75" hidden="false" customHeight="true" outlineLevel="0" collapsed="false">
      <c r="A21" s="38" t="s">
        <v>52</v>
      </c>
      <c r="B21" s="48" t="s">
        <v>53</v>
      </c>
    </row>
    <row r="22" customFormat="false" ht="82" hidden="false" customHeight="true" outlineLevel="0" collapsed="false">
      <c r="A22" s="39" t="s">
        <v>54</v>
      </c>
      <c r="B22" s="49" t="s">
        <v>55</v>
      </c>
    </row>
    <row r="23" customFormat="false" ht="120" hidden="false" customHeight="true" outlineLevel="0" collapsed="false">
      <c r="A23" s="39" t="s">
        <v>56</v>
      </c>
      <c r="B23" s="49" t="s">
        <v>57</v>
      </c>
    </row>
    <row r="24" customFormat="false" ht="66.75" hidden="false" customHeight="true" outlineLevel="0" collapsed="false">
      <c r="A24" s="39" t="s">
        <v>58</v>
      </c>
      <c r="B24" s="50" t="s">
        <v>59</v>
      </c>
    </row>
    <row r="25" customFormat="false" ht="66.75" hidden="false" customHeight="true" outlineLevel="0" collapsed="false"/>
    <row r="26" customFormat="false" ht="66.75" hidden="false" customHeight="true" outlineLevel="0" collapsed="false"/>
    <row r="27" customFormat="false" ht="66.75" hidden="false" customHeight="true" outlineLevel="0" collapsed="false"/>
    <row r="28" customFormat="false" ht="66.75" hidden="false" customHeight="true" outlineLevel="0" collapsed="false"/>
    <row r="29" customFormat="false" ht="66.75" hidden="false" customHeight="true" outlineLevel="0" collapsed="false"/>
    <row r="30" customFormat="false" ht="66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B1"/>
    <mergeCell ref="A7:B7"/>
    <mergeCell ref="A16:B16"/>
  </mergeCells>
  <conditionalFormatting sqref="B14">
    <cfRule type="expression" priority="2" aboveAverage="0" equalAverage="0" bottom="0" percent="0" rank="0" text="" dxfId="0">
      <formula>B13&gt;$B$5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